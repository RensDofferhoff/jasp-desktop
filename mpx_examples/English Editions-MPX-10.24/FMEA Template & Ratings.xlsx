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quent\OneDrive\OneDrive DOCS\Material Development\Book\Data Files\English Editions 3-4-5-6-7-V21\"/>
    </mc:Choice>
  </mc:AlternateContent>
  <xr:revisionPtr revIDLastSave="0" documentId="8_{307F8927-8920-4472-9900-E194186B7BBB}" xr6:coauthVersionLast="47" xr6:coauthVersionMax="47" xr10:uidLastSave="{00000000-0000-0000-0000-000000000000}"/>
  <bookViews>
    <workbookView xWindow="-120" yWindow="-120" windowWidth="29040" windowHeight="15840" tabRatio="791"/>
  </bookViews>
  <sheets>
    <sheet name="FMEA" sheetId="1" r:id="rId1"/>
    <sheet name="Product - Severity" sheetId="3" r:id="rId2"/>
    <sheet name="Product - Occurence" sheetId="4" r:id="rId3"/>
    <sheet name="Product - Detection" sheetId="5" r:id="rId4"/>
    <sheet name="Process - Severity" sheetId="6" r:id="rId5"/>
    <sheet name="Process - Occurence" sheetId="7" r:id="rId6"/>
    <sheet name="Process - Detecti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21" i="1"/>
  <c r="P20" i="1"/>
  <c r="P19" i="1"/>
  <c r="P18" i="1"/>
  <c r="P17" i="1"/>
  <c r="P16" i="1"/>
  <c r="P15" i="1"/>
  <c r="P14" i="1"/>
  <c r="P13" i="1"/>
  <c r="P12" i="1"/>
  <c r="P10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<sst xmlns="http://schemas.openxmlformats.org/spreadsheetml/2006/main" count="208" uniqueCount="125">
  <si>
    <t>Process or Product Name:</t>
  </si>
  <si>
    <t>FMEA Date (Orig) ______________  (Rev) _____________</t>
  </si>
  <si>
    <t>Potential Failure Mode</t>
  </si>
  <si>
    <t>Potential Failure Effects</t>
  </si>
  <si>
    <t>SEV</t>
  </si>
  <si>
    <t>Potential Causes</t>
  </si>
  <si>
    <t>OCC</t>
  </si>
  <si>
    <t>Current Controls</t>
  </si>
  <si>
    <t>DET</t>
  </si>
  <si>
    <t>RPN</t>
  </si>
  <si>
    <t>Actions Recommended</t>
  </si>
  <si>
    <t>Resp.</t>
  </si>
  <si>
    <t>Actions Taken</t>
  </si>
  <si>
    <t xml:space="preserve"> </t>
  </si>
  <si>
    <r>
      <t xml:space="preserve">SEVERITY </t>
    </r>
    <r>
      <rPr>
        <b/>
        <sz val="14"/>
        <rFont val="Gill Sans"/>
      </rPr>
      <t>of Effects of Failure Mode</t>
    </r>
  </si>
  <si>
    <t>Effect</t>
  </si>
  <si>
    <t>Criteria</t>
  </si>
  <si>
    <t>Ranking</t>
  </si>
  <si>
    <t>Hazardous-without warning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</si>
  <si>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Very high severity ranking when a potential failure mode affects safe product operation and / or involves non-compliance with government regulation without warning</t>
    </r>
  </si>
  <si>
    <t>Hazardous-with warning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</si>
  <si>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Very high severity ranking when a potential failure mode affects safe product operation and / or involves non-compliance with government regulation with warning</t>
    </r>
  </si>
  <si>
    <t>Very High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</si>
  <si>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item inoperable, with loss of primary function</t>
    </r>
  </si>
  <si>
    <t>High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</si>
  <si>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item operable, but at a reduced level of performance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</si>
  <si>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Customer dissatisfied</t>
    </r>
  </si>
  <si>
    <t>Moderate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</si>
  <si>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item operable, but comfort / convenience item(s) inoperable</t>
    </r>
  </si>
  <si>
    <t>Low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</si>
  <si>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item operable, but comfort / convenience item(s) operable at a reduced level of performance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</si>
  <si>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Customer experiences some dissatisfaction</t>
    </r>
  </si>
  <si>
    <t>Very Low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</si>
  <si>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Fit &amp; finish / squeak &amp; rattle item does not conform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</si>
  <si>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Defect noticed by most customers</t>
    </r>
  </si>
  <si>
    <t>Minor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</si>
  <si>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Defect noticed by average customers</t>
    </r>
  </si>
  <si>
    <t>Very Minor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</si>
  <si>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Defect noticed by discriminating customer</t>
    </r>
  </si>
  <si>
    <t>None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</si>
  <si>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No effect</t>
    </r>
  </si>
  <si>
    <r>
      <t>OCCURRENCE</t>
    </r>
    <r>
      <rPr>
        <b/>
        <sz val="14"/>
        <rFont val="Gill Sans"/>
      </rPr>
      <t xml:space="preserve"> of Failure Mode</t>
    </r>
  </si>
  <si>
    <t>Probability of Failure</t>
  </si>
  <si>
    <t>Possible Failure Rates</t>
  </si>
  <si>
    <t>Very High: Failure is almost inevitable</t>
  </si>
  <si>
    <r>
      <t xml:space="preserve">³ </t>
    </r>
    <r>
      <rPr>
        <sz val="10"/>
        <rFont val="Gill Sans"/>
      </rPr>
      <t>1 in 2</t>
    </r>
  </si>
  <si>
    <t>1 in 3</t>
  </si>
  <si>
    <t>High: Repeated failures</t>
  </si>
  <si>
    <t>1 in 8</t>
  </si>
  <si>
    <t>1 in 20</t>
  </si>
  <si>
    <t>Moderate: Occasional failures</t>
  </si>
  <si>
    <t>1 in 80</t>
  </si>
  <si>
    <t>1 in 400</t>
  </si>
  <si>
    <t>1 in 2,000</t>
  </si>
  <si>
    <t>Low: Relatively few failures</t>
  </si>
  <si>
    <t>1 in 15,000</t>
  </si>
  <si>
    <t>1 in 150,000</t>
  </si>
  <si>
    <t>Remote: Failure is unlikely.</t>
  </si>
  <si>
    <r>
      <t xml:space="preserve">£ </t>
    </r>
    <r>
      <rPr>
        <sz val="10"/>
        <rFont val="Gill Sans"/>
      </rPr>
      <t>1 in 1,500,000</t>
    </r>
  </si>
  <si>
    <r>
      <t xml:space="preserve">Likelihood of </t>
    </r>
    <r>
      <rPr>
        <b/>
        <sz val="14"/>
        <color indexed="12"/>
        <rFont val="Gill Sans"/>
      </rPr>
      <t>DETECTION</t>
    </r>
    <r>
      <rPr>
        <b/>
        <sz val="14"/>
        <rFont val="Gill Sans"/>
      </rPr>
      <t xml:space="preserve"> of the Failure Mode</t>
    </r>
  </si>
  <si>
    <t>Detection</t>
  </si>
  <si>
    <t>Absolute Uncertainty</t>
  </si>
  <si>
    <t>Design Control will not and / or can not detect a potential cause mechanism and subsequent failure mode; or there is no design control</t>
  </si>
  <si>
    <t>Very Remote</t>
  </si>
  <si>
    <t>Very remote chance the design control will detect a potential cause / mechanism and subsequent failure mode</t>
  </si>
  <si>
    <t>Remote</t>
  </si>
  <si>
    <t>Remote chance the design control will detect a potential cause / mechanism and subsequent failure mode</t>
  </si>
  <si>
    <t>Very low chance the design control will detect a potential cause / mechanism and subsequent failure mode</t>
  </si>
  <si>
    <t>Low chance the design control will detect a potential cause / mechanism and subsequent failure mode</t>
  </si>
  <si>
    <t>Moderate chance the design control will detect a potential cause / mechanism and subsequent failure mode</t>
  </si>
  <si>
    <t>Moderately High</t>
  </si>
  <si>
    <t>Moderately high chance the design control will detect a potential cause / mechanism and subsequent failure mode</t>
  </si>
  <si>
    <t>High chance the design control will detect a potential cause / mechanism and subsequent failure mode</t>
  </si>
  <si>
    <t>Very high chance the design control will detect a potential cause / mechanism and subsequent failure mode</t>
  </si>
  <si>
    <t>Almost Certain</t>
  </si>
  <si>
    <t>Design control will almost certainly detect a potential cause / mechanism and subsequent failure mode</t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</si>
  <si>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May endanger machine, or operator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</si>
  <si>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Affects safe operation of product / production and / or involves non-compliance with government regulation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</si>
  <si>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Failure will occur without warning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</si>
  <si>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Failure will occur with warning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</si>
  <si>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Major disruption to production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</si>
  <si>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100% of production may have to be scrapped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</si>
  <si>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equipment inoperable - loss of primary function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</si>
  <si>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Customer very dissatisfied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</si>
  <si>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Minor disruption to production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</si>
  <si>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Production may have to be sorted and a portion (&lt;100%) scrapped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</si>
  <si>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equipment operable, but at significantly reduced level of performance, ie. only primary function(s)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</si>
  <si>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A portion of production may have to be scrapped (&lt;100%) - no sorting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</si>
  <si>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equipment operable, but at reduced level of performance (some secondary functions inoperable)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</si>
  <si>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100% of production may have to be re-worked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</si>
  <si>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 / equipment operable, but at slightly reduced level of performance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</si>
  <si>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Some customers dissatisfied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</si>
  <si>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Production may have to be sorted and a portion (&lt;100%) re-worked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</si>
  <si>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Minor non-conformance to production specification</t>
    </r>
  </si>
  <si>
    <r>
      <t>·</t>
    </r>
    <r>
      <rPr>
        <sz val="7"/>
        <rFont val="Times New Roman"/>
        <family val="1"/>
      </rPr>
      <t xml:space="preserve">       </t>
    </r>
    <r>
      <rPr>
        <sz val="10"/>
        <rFont val="Gill Sans"/>
      </rPr>
      <t>Defect noticed by average customer</t>
    </r>
  </si>
  <si>
    <r>
      <t>·</t>
    </r>
    <r>
      <rPr>
        <sz val="7"/>
        <rFont val="Times New Roman"/>
        <family val="1"/>
      </rPr>
      <t xml:space="preserve">              </t>
    </r>
    <r>
      <rPr>
        <sz val="10"/>
        <rFont val="Gill Sans"/>
      </rPr>
      <t>A portion of production may have to be re-worked (&lt;100%) - on-line (not in station)</t>
    </r>
  </si>
  <si>
    <r>
      <t>·</t>
    </r>
    <r>
      <rPr>
        <sz val="7"/>
        <rFont val="Times New Roman"/>
        <family val="1"/>
      </rPr>
      <t xml:space="preserve">              </t>
    </r>
    <r>
      <rPr>
        <sz val="10"/>
        <rFont val="Gill Sans"/>
      </rPr>
      <t>A portion of production may have to be re-worked (&lt;100%) - on-line (in station)</t>
    </r>
  </si>
  <si>
    <t>CpK</t>
  </si>
  <si>
    <r>
      <t>&lt;</t>
    </r>
    <r>
      <rPr>
        <sz val="10"/>
        <rFont val="Symbol"/>
        <family val="1"/>
        <charset val="2"/>
      </rPr>
      <t xml:space="preserve"> </t>
    </r>
    <r>
      <rPr>
        <sz val="10"/>
        <rFont val="Gill Sans"/>
      </rPr>
      <t>0.33</t>
    </r>
  </si>
  <si>
    <r>
      <t>³</t>
    </r>
    <r>
      <rPr>
        <sz val="10"/>
        <rFont val="Symbol"/>
        <family val="1"/>
        <charset val="2"/>
      </rPr>
      <t xml:space="preserve"> </t>
    </r>
    <r>
      <rPr>
        <sz val="10"/>
        <rFont val="Gill Sans"/>
      </rPr>
      <t>0.33</t>
    </r>
  </si>
  <si>
    <t>High: Generally associated with processes similar to previous processes that have often failed</t>
  </si>
  <si>
    <r>
      <t xml:space="preserve">³ </t>
    </r>
    <r>
      <rPr>
        <sz val="10"/>
        <rFont val="Gill Sans"/>
      </rPr>
      <t>0.51</t>
    </r>
  </si>
  <si>
    <r>
      <t xml:space="preserve">³ </t>
    </r>
    <r>
      <rPr>
        <sz val="10"/>
        <rFont val="Gill Sans"/>
      </rPr>
      <t>0.67</t>
    </r>
  </si>
  <si>
    <t>Moderate: Generally associated with processes similar to previous processes which have experienced occasional failures, but not in major proportions</t>
  </si>
  <si>
    <r>
      <t xml:space="preserve">³ </t>
    </r>
    <r>
      <rPr>
        <sz val="10"/>
        <rFont val="Gill Sans"/>
      </rPr>
      <t>0.83</t>
    </r>
  </si>
  <si>
    <r>
      <t xml:space="preserve">³ </t>
    </r>
    <r>
      <rPr>
        <sz val="10"/>
        <rFont val="Gill Sans"/>
      </rPr>
      <t>1.00</t>
    </r>
  </si>
  <si>
    <r>
      <t xml:space="preserve">³ </t>
    </r>
    <r>
      <rPr>
        <sz val="10"/>
        <rFont val="Gill Sans"/>
      </rPr>
      <t>1.17</t>
    </r>
  </si>
  <si>
    <t>Low: Isolated failures associated with similar processes</t>
  </si>
  <si>
    <r>
      <t xml:space="preserve">³ </t>
    </r>
    <r>
      <rPr>
        <sz val="10"/>
        <rFont val="Gill Sans"/>
      </rPr>
      <t>1.33</t>
    </r>
  </si>
  <si>
    <t>Very Low: Only isolated failures associated with almost identical processes</t>
  </si>
  <si>
    <r>
      <t xml:space="preserve">³ </t>
    </r>
    <r>
      <rPr>
        <sz val="10"/>
        <rFont val="Gill Sans"/>
      </rPr>
      <t>1.50</t>
    </r>
  </si>
  <si>
    <t>Remote: Failure is unlikely.  No failures ever associated with almost identical processes.</t>
  </si>
  <si>
    <r>
      <t xml:space="preserve">³ </t>
    </r>
    <r>
      <rPr>
        <sz val="10"/>
        <rFont val="Gill Sans"/>
      </rPr>
      <t>1.67</t>
    </r>
  </si>
  <si>
    <t>Almost Impossible</t>
  </si>
  <si>
    <t>No known control(s) available to detect failure mode</t>
  </si>
  <si>
    <t>Very remote likelihood current control(s) will detect failure mode</t>
  </si>
  <si>
    <t>Remote likelihood current control(s) will detect failure mode</t>
  </si>
  <si>
    <t>Very low likelihood current control(s) will detect failure mode</t>
  </si>
  <si>
    <t>Low likelihood current control(s) will detect failure mode</t>
  </si>
  <si>
    <t>Moderate likelihood current control(s) will detect failure mode</t>
  </si>
  <si>
    <t>Moderately high likelihood current control(s) will detect failure mode</t>
  </si>
  <si>
    <t>High likelihood current control(s) will detect failure mode</t>
  </si>
  <si>
    <t>Very high likelihood current control(s) will detect failure mode</t>
  </si>
  <si>
    <t>Current control(s) almost certain to detect the failure mode.  Reliable detection controls are known with similar processes.</t>
  </si>
  <si>
    <t>Process Step or Product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</si>
</sst>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Arial"/>
    </font>
    <font>
      <b/>
      <sz val="10"/>
      <name val="Arial"/>
    </font>
    <font>
      <b/>
      <sz val="12"/>
      <name val="Gill Sans"/>
    </font>
    <font>
      <b/>
      <sz val="14"/>
      <color indexed="12"/>
      <name val="Gill Sans"/>
    </font>
    <font>
      <b/>
      <sz val="14"/>
      <name val="Gill Sans"/>
    </font>
    <font>
      <sz val="10"/>
      <name val="Gill Sans"/>
    </font>
    <font>
      <sz val="10"/>
      <name val="Symbol"/>
      <family val="1"/>
      <charset val="2"/>
    </font>
    <font>
      <sz val="7"/>
      <name val="Times New Roman"/>
      <family val="1"/>
    </font>
    <font>
      <b/>
      <sz val="10"/>
      <name val="Symbol"/>
      <family val="1"/>
      <charset val="2"/>
    </font>
    <font>
      <sz val="8"/>
      <name val="Arial"/>
    </font>
    <font>
      <sz val="24"/>
      <name val="Tahoma"/>
      <family val="2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9"/>
        <bgColor indexed="31"/>
      </patternFill>
    </fill>
  </fills>
  <borders count="6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2" borderId="1" xfId="0" applyFill="1" applyBorder="1" applyAlignment="1" applyProtection="1">
      <alignment horizontal="left" vertical="top" wrapText="1"/>
      <protection locked="0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4" borderId="0" xfId="0" applyFill="1" applyBorder="1"/>
    <xf numFmtId="0" fontId="0" fillId="4" borderId="0" xfId="0" applyFill="1"/>
    <xf numFmtId="0" fontId="0" fillId="2" borderId="5" xfId="0" applyFill="1" applyBorder="1" applyAlignment="1" applyProtection="1">
      <alignment horizontal="left" vertical="top" wrapText="1"/>
      <protection locked="0"/>
    </xf>
    <xf numFmtId="1" fontId="0" fillId="2" borderId="6" xfId="0" applyNumberFormat="1" applyFill="1" applyBorder="1" applyAlignment="1" applyProtection="1">
      <alignment horizontal="center" vertical="center"/>
      <protection locked="0"/>
    </xf>
    <xf numFmtId="1" fontId="0" fillId="2" borderId="7" xfId="0" applyNumberForma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>
      <alignment horizontal="center" vertical="center" textRotation="255" wrapText="1"/>
    </xf>
    <xf numFmtId="0" fontId="1" fillId="2" borderId="12" xfId="0" applyFont="1" applyFill="1" applyBorder="1" applyAlignment="1">
      <alignment horizontal="center" vertical="center" textRotation="255" wrapText="1"/>
    </xf>
    <xf numFmtId="0" fontId="0" fillId="2" borderId="13" xfId="0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vertical="center" wrapText="1"/>
    </xf>
    <xf numFmtId="0" fontId="8" fillId="0" borderId="33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textRotation="255" wrapText="1"/>
    </xf>
    <xf numFmtId="0" fontId="0" fillId="2" borderId="38" xfId="0" applyFill="1" applyBorder="1" applyAlignment="1">
      <alignment horizontal="left" vertical="center" wrapText="1"/>
    </xf>
    <xf numFmtId="0" fontId="0" fillId="2" borderId="39" xfId="0" applyFill="1" applyBorder="1" applyAlignment="1" applyProtection="1">
      <alignment horizontal="left" vertical="center" wrapText="1"/>
      <protection locked="0"/>
    </xf>
    <xf numFmtId="0" fontId="0" fillId="2" borderId="39" xfId="0" applyFill="1" applyBorder="1" applyAlignment="1">
      <alignment horizontal="left" vertical="center" wrapText="1"/>
    </xf>
    <xf numFmtId="0" fontId="0" fillId="2" borderId="39" xfId="0" applyFill="1" applyBorder="1" applyAlignment="1" applyProtection="1">
      <alignment horizontal="left" vertical="center"/>
      <protection locked="0"/>
    </xf>
    <xf numFmtId="0" fontId="0" fillId="2" borderId="40" xfId="0" applyFill="1" applyBorder="1" applyAlignment="1">
      <alignment horizontal="left" vertical="center" wrapText="1"/>
    </xf>
    <xf numFmtId="0" fontId="0" fillId="2" borderId="41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49" fontId="0" fillId="2" borderId="42" xfId="0" applyNumberFormat="1" applyFill="1" applyBorder="1" applyAlignment="1" applyProtection="1">
      <alignment horizontal="left" vertical="top" wrapText="1"/>
      <protection locked="0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 applyProtection="1">
      <alignment horizontal="left" vertical="top" wrapText="1"/>
      <protection locked="0"/>
    </xf>
    <xf numFmtId="0" fontId="0" fillId="2" borderId="45" xfId="0" applyFill="1" applyBorder="1" applyAlignment="1" applyProtection="1">
      <alignment horizontal="left" vertical="top" wrapText="1"/>
      <protection locked="0"/>
    </xf>
    <xf numFmtId="0" fontId="0" fillId="2" borderId="46" xfId="0" applyFill="1" applyBorder="1" applyAlignment="1" applyProtection="1">
      <alignment horizontal="left" vertical="top" wrapText="1"/>
      <protection locked="0"/>
    </xf>
    <xf numFmtId="1" fontId="0" fillId="2" borderId="47" xfId="0" applyNumberFormat="1" applyFill="1" applyBorder="1" applyAlignment="1" applyProtection="1">
      <alignment horizontal="center" vertical="center"/>
      <protection locked="0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 applyProtection="1">
      <alignment horizontal="left" vertical="top" wrapText="1"/>
      <protection locked="0"/>
    </xf>
    <xf numFmtId="0" fontId="0" fillId="2" borderId="47" xfId="0" applyFill="1" applyBorder="1" applyAlignment="1" applyProtection="1">
      <alignment horizontal="center" vertical="center"/>
      <protection locked="0"/>
    </xf>
    <xf numFmtId="0" fontId="0" fillId="2" borderId="50" xfId="0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3" fillId="0" borderId="57" xfId="0" applyFont="1" applyFill="1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vertical="center" wrapText="1"/>
    </xf>
    <xf numFmtId="0" fontId="3" fillId="0" borderId="60" xfId="0" applyFont="1" applyFill="1" applyBorder="1" applyAlignment="1">
      <alignment horizontal="center" vertical="center" wrapText="1"/>
    </xf>
    <xf numFmtId="0" fontId="3" fillId="0" borderId="61" xfId="0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5" fillId="0" borderId="6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 wrapText="1"/>
    </xf>
    <xf numFmtId="0" fontId="5" fillId="0" borderId="56" xfId="0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123825</xdr:rowOff>
    </xdr:from>
    <xdr:to>
      <xdr:col>6</xdr:col>
      <xdr:colOff>1809750</xdr:colOff>
      <xdr:row>1</xdr:row>
      <xdr:rowOff>1047750</xdr:rowOff>
    </xdr:to>
    <xdr:pic>
      <xdr:nvPicPr>
        <xdr:cNvPr id="1049" name="Picture 22" descr="20100414 Low Res RGB">
          <a:extLst>
            <a:ext uri="{FF2B5EF4-FFF2-40B4-BE49-F238E27FC236}">
              <a16:creationId xmlns:a16="http://schemas.microsoft.com/office/drawing/2014/main" id="{491559F9-44F3-8B2B-1502-23C71F3F1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"/>
          <a:ext cx="88296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34643</xdr:colOff>
      <xdr:row>3</xdr:row>
      <xdr:rowOff>138548</xdr:rowOff>
    </xdr:from>
    <xdr:ext cx="11429999" cy="79663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A12A36-C38E-F5BB-5B6B-001562AE06BC}"/>
            </a:ext>
          </a:extLst>
        </xdr:cNvPr>
        <xdr:cNvSpPr txBox="1"/>
      </xdr:nvSpPr>
      <xdr:spPr>
        <a:xfrm>
          <a:off x="2563098" y="1610593"/>
          <a:ext cx="11429999" cy="7966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GB" sz="3600" b="1"/>
            <a:t>Process</a:t>
          </a:r>
          <a:r>
            <a:rPr lang="en-GB" sz="3600" b="1" baseline="0"/>
            <a:t> or Product Failure Modes and Effects Analysis (FMEA)</a:t>
          </a:r>
          <a:endParaRPr lang="en-GB" sz="36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showGridLines="0" tabSelected="1" zoomScale="55" workbookViewId="0">
      <selection activeCell="A3" sqref="A3"/>
    </sheetView>
  </sheetViews>
  <sheetFormatPr defaultRowHeight="12.75"/>
  <cols>
    <col min="1" max="1" width="14.7109375" style="5" customWidth="1"/>
    <col min="2" max="2" width="23" style="5" customWidth="1"/>
    <col min="3" max="3" width="25" style="5" customWidth="1"/>
    <col min="4" max="4" width="9.42578125" style="5" customWidth="1"/>
    <col min="5" max="5" width="26.42578125" style="5" customWidth="1"/>
    <col min="6" max="6" width="9" style="5" customWidth="1"/>
    <col min="7" max="7" width="28.85546875" style="5" customWidth="1"/>
    <col min="8" max="9" width="8.7109375" style="5" customWidth="1"/>
    <col min="10" max="10" width="19.5703125" style="5" customWidth="1"/>
    <col min="11" max="11" width="11.5703125" style="5" customWidth="1"/>
    <col min="12" max="12" width="21.5703125" style="5" customWidth="1"/>
    <col min="13" max="16" width="6" style="5" customWidth="1"/>
    <col min="17" max="16384" width="9.140625" style="5"/>
  </cols>
  <sheetData>
    <row r="1" spans="1:16" ht="0.75" customHeight="1" thickBo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 s="7" customFormat="1" ht="91.9" customHeight="1" thickBot="1">
      <c r="A2" s="88"/>
      <c r="B2" s="87"/>
      <c r="C2" s="87"/>
      <c r="D2" s="87"/>
      <c r="E2" s="87"/>
      <c r="F2" s="87"/>
      <c r="G2" s="89"/>
      <c r="I2" s="6"/>
      <c r="J2" s="6"/>
      <c r="K2" s="6"/>
      <c r="L2" s="6"/>
      <c r="M2" s="6"/>
      <c r="N2" s="6"/>
      <c r="O2" s="6"/>
    </row>
    <row r="3" spans="1:16" ht="22.5" customHeight="1">
      <c r="A3" s="67"/>
      <c r="B3" s="67"/>
      <c r="C3" s="67"/>
      <c r="D3" s="67"/>
    </row>
    <row r="4" spans="1:16" ht="28.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13.5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40.5" customHeight="1" thickBo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36.75" customHeight="1" thickTop="1">
      <c r="A7" s="70" t="s">
        <v>0</v>
      </c>
      <c r="B7" s="71"/>
      <c r="C7" s="71"/>
      <c r="D7" s="71"/>
      <c r="E7" s="71"/>
      <c r="F7" s="72"/>
      <c r="G7" s="73" t="s">
        <v>1</v>
      </c>
      <c r="H7" s="71"/>
      <c r="I7" s="71"/>
      <c r="J7" s="71"/>
      <c r="K7" s="71"/>
      <c r="L7" s="71"/>
      <c r="M7" s="72"/>
      <c r="N7" s="72"/>
      <c r="O7" s="72"/>
      <c r="P7" s="74"/>
    </row>
    <row r="8" spans="1:16" ht="14.25" customHeight="1" thickBot="1">
      <c r="A8" s="7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76"/>
    </row>
    <row r="9" spans="1:16" ht="63" customHeight="1" thickBot="1">
      <c r="A9" s="68" t="s">
        <v>124</v>
      </c>
      <c r="B9" s="65" t="s">
        <v>2</v>
      </c>
      <c r="C9" s="65" t="s">
        <v>3</v>
      </c>
      <c r="D9" s="16" t="s">
        <v>4</v>
      </c>
      <c r="E9" s="65" t="s">
        <v>5</v>
      </c>
      <c r="F9" s="16" t="s">
        <v>6</v>
      </c>
      <c r="G9" s="65" t="s">
        <v>7</v>
      </c>
      <c r="H9" s="16" t="s">
        <v>8</v>
      </c>
      <c r="I9" s="17" t="s">
        <v>9</v>
      </c>
      <c r="J9" s="65" t="s">
        <v>10</v>
      </c>
      <c r="K9" s="65" t="s">
        <v>11</v>
      </c>
      <c r="L9" s="66" t="s">
        <v>12</v>
      </c>
      <c r="M9" s="16" t="s">
        <v>4</v>
      </c>
      <c r="N9" s="16" t="s">
        <v>6</v>
      </c>
      <c r="O9" s="16" t="s">
        <v>8</v>
      </c>
      <c r="P9" s="69" t="s">
        <v>9</v>
      </c>
    </row>
    <row r="10" spans="1:16" ht="35.1" customHeight="1">
      <c r="A10" s="77"/>
      <c r="B10" s="8"/>
      <c r="C10" s="8"/>
      <c r="D10" s="9"/>
      <c r="E10" s="8"/>
      <c r="F10" s="10"/>
      <c r="G10" s="8"/>
      <c r="H10" s="10"/>
      <c r="I10" s="11">
        <f>D10*F10*H10</f>
        <v>0</v>
      </c>
      <c r="J10" s="8"/>
      <c r="K10" s="8"/>
      <c r="L10" s="12"/>
      <c r="M10" s="13" t="s">
        <v>13</v>
      </c>
      <c r="N10" s="13" t="s">
        <v>13</v>
      </c>
      <c r="O10" s="13" t="s">
        <v>13</v>
      </c>
      <c r="P10" s="78">
        <f>PRODUCT(M10:O10)</f>
        <v>0</v>
      </c>
    </row>
    <row r="11" spans="1:16" ht="35.1" customHeight="1">
      <c r="A11" s="79"/>
      <c r="B11" s="14"/>
      <c r="C11" s="14"/>
      <c r="D11" s="10"/>
      <c r="E11" s="14"/>
      <c r="F11" s="10"/>
      <c r="G11" s="14"/>
      <c r="H11" s="10"/>
      <c r="I11" s="11">
        <f t="shared" ref="I11:I21" si="0">D11*F11*H11</f>
        <v>0</v>
      </c>
      <c r="J11" s="14"/>
      <c r="K11" s="14"/>
      <c r="L11" s="1"/>
      <c r="M11" s="15"/>
      <c r="N11" s="15"/>
      <c r="O11" s="15"/>
      <c r="P11" s="78">
        <f>PRODUCT(M11:O11)</f>
        <v>0</v>
      </c>
    </row>
    <row r="12" spans="1:16" ht="35.1" customHeight="1">
      <c r="A12" s="79"/>
      <c r="B12" s="14"/>
      <c r="C12" s="14"/>
      <c r="D12" s="10"/>
      <c r="E12" s="14"/>
      <c r="F12" s="10"/>
      <c r="G12" s="14"/>
      <c r="H12" s="10"/>
      <c r="I12" s="11">
        <f t="shared" si="0"/>
        <v>0</v>
      </c>
      <c r="J12" s="14"/>
      <c r="K12" s="14"/>
      <c r="L12" s="1"/>
      <c r="M12" s="15"/>
      <c r="N12" s="15"/>
      <c r="O12" s="15"/>
      <c r="P12" s="78">
        <f t="shared" ref="P12:P21" si="1">PRODUCT(M12:O12)</f>
        <v>0</v>
      </c>
    </row>
    <row r="13" spans="1:16" ht="35.1" customHeight="1">
      <c r="A13" s="79"/>
      <c r="B13" s="14"/>
      <c r="C13" s="14"/>
      <c r="D13" s="10"/>
      <c r="E13" s="14"/>
      <c r="F13" s="10"/>
      <c r="G13" s="14"/>
      <c r="H13" s="10"/>
      <c r="I13" s="11">
        <f t="shared" si="0"/>
        <v>0</v>
      </c>
      <c r="J13" s="14"/>
      <c r="K13" s="14"/>
      <c r="L13" s="1"/>
      <c r="M13" s="15" t="s">
        <v>13</v>
      </c>
      <c r="N13" s="15" t="s">
        <v>13</v>
      </c>
      <c r="O13" s="15" t="s">
        <v>13</v>
      </c>
      <c r="P13" s="78">
        <f t="shared" si="1"/>
        <v>0</v>
      </c>
    </row>
    <row r="14" spans="1:16" ht="35.1" customHeight="1">
      <c r="A14" s="79"/>
      <c r="B14" s="14"/>
      <c r="C14" s="14"/>
      <c r="D14" s="10"/>
      <c r="E14" s="14"/>
      <c r="F14" s="10"/>
      <c r="G14" s="14"/>
      <c r="H14" s="10"/>
      <c r="I14" s="11">
        <f t="shared" si="0"/>
        <v>0</v>
      </c>
      <c r="J14" s="14" t="s">
        <v>13</v>
      </c>
      <c r="K14" s="14"/>
      <c r="L14" s="1"/>
      <c r="M14" s="15" t="s">
        <v>13</v>
      </c>
      <c r="N14" s="15" t="s">
        <v>13</v>
      </c>
      <c r="O14" s="15" t="s">
        <v>13</v>
      </c>
      <c r="P14" s="78">
        <f t="shared" si="1"/>
        <v>0</v>
      </c>
    </row>
    <row r="15" spans="1:16" ht="35.1" customHeight="1">
      <c r="A15" s="79"/>
      <c r="B15" s="14"/>
      <c r="C15" s="14"/>
      <c r="D15" s="10"/>
      <c r="E15" s="14"/>
      <c r="F15" s="10"/>
      <c r="G15" s="14"/>
      <c r="H15" s="10"/>
      <c r="I15" s="11">
        <f t="shared" si="0"/>
        <v>0</v>
      </c>
      <c r="J15" s="14"/>
      <c r="K15" s="14"/>
      <c r="L15" s="1"/>
      <c r="M15" s="15"/>
      <c r="N15" s="15"/>
      <c r="O15" s="15"/>
      <c r="P15" s="78">
        <f t="shared" si="1"/>
        <v>0</v>
      </c>
    </row>
    <row r="16" spans="1:16" ht="35.1" customHeight="1">
      <c r="A16" s="79"/>
      <c r="B16" s="14"/>
      <c r="C16" s="14"/>
      <c r="D16" s="10"/>
      <c r="E16" s="14"/>
      <c r="F16" s="10"/>
      <c r="G16" s="14"/>
      <c r="H16" s="10"/>
      <c r="I16" s="11">
        <f t="shared" si="0"/>
        <v>0</v>
      </c>
      <c r="J16" s="14" t="s">
        <v>13</v>
      </c>
      <c r="K16" s="14"/>
      <c r="L16" s="1"/>
      <c r="M16" s="15"/>
      <c r="N16" s="15"/>
      <c r="O16" s="15"/>
      <c r="P16" s="78">
        <f t="shared" si="1"/>
        <v>0</v>
      </c>
    </row>
    <row r="17" spans="1:16" ht="35.1" customHeight="1">
      <c r="A17" s="79"/>
      <c r="B17" s="14"/>
      <c r="C17" s="14"/>
      <c r="D17" s="10"/>
      <c r="E17" s="14"/>
      <c r="F17" s="10"/>
      <c r="G17" s="14"/>
      <c r="H17" s="10"/>
      <c r="I17" s="11">
        <f t="shared" si="0"/>
        <v>0</v>
      </c>
      <c r="J17" s="14" t="s">
        <v>13</v>
      </c>
      <c r="K17" s="14"/>
      <c r="L17" s="1"/>
      <c r="M17" s="15"/>
      <c r="N17" s="15"/>
      <c r="O17" s="15"/>
      <c r="P17" s="78">
        <f t="shared" si="1"/>
        <v>0</v>
      </c>
    </row>
    <row r="18" spans="1:16" ht="35.1" customHeight="1">
      <c r="A18" s="79"/>
      <c r="B18" s="14"/>
      <c r="C18" s="14"/>
      <c r="D18" s="10"/>
      <c r="E18" s="14"/>
      <c r="F18" s="10"/>
      <c r="G18" s="14"/>
      <c r="H18" s="10"/>
      <c r="I18" s="11">
        <f t="shared" si="0"/>
        <v>0</v>
      </c>
      <c r="J18" s="14" t="s">
        <v>13</v>
      </c>
      <c r="K18" s="14"/>
      <c r="L18" s="1"/>
      <c r="M18" s="15"/>
      <c r="N18" s="15"/>
      <c r="O18" s="15"/>
      <c r="P18" s="78">
        <f t="shared" si="1"/>
        <v>0</v>
      </c>
    </row>
    <row r="19" spans="1:16" ht="35.1" customHeight="1">
      <c r="A19" s="79"/>
      <c r="B19" s="14"/>
      <c r="C19" s="14"/>
      <c r="D19" s="10"/>
      <c r="E19" s="14"/>
      <c r="F19" s="10"/>
      <c r="G19" s="14"/>
      <c r="H19" s="10"/>
      <c r="I19" s="11">
        <f t="shared" si="0"/>
        <v>0</v>
      </c>
      <c r="J19" s="14"/>
      <c r="K19" s="14"/>
      <c r="L19" s="1"/>
      <c r="M19" s="15"/>
      <c r="N19" s="15"/>
      <c r="O19" s="15"/>
      <c r="P19" s="78">
        <f t="shared" si="1"/>
        <v>0</v>
      </c>
    </row>
    <row r="20" spans="1:16" ht="35.1" customHeight="1">
      <c r="A20" s="79"/>
      <c r="B20" s="14"/>
      <c r="C20" s="14"/>
      <c r="D20" s="10"/>
      <c r="E20" s="14"/>
      <c r="F20" s="10"/>
      <c r="G20" s="14"/>
      <c r="H20" s="10"/>
      <c r="I20" s="11">
        <f t="shared" si="0"/>
        <v>0</v>
      </c>
      <c r="J20" s="14"/>
      <c r="K20" s="14"/>
      <c r="L20" s="1"/>
      <c r="M20" s="15"/>
      <c r="N20" s="15"/>
      <c r="O20" s="15"/>
      <c r="P20" s="78">
        <f t="shared" si="1"/>
        <v>0</v>
      </c>
    </row>
    <row r="21" spans="1:16" ht="35.1" customHeight="1" thickBot="1">
      <c r="A21" s="80"/>
      <c r="B21" s="81"/>
      <c r="C21" s="81"/>
      <c r="D21" s="82"/>
      <c r="E21" s="81"/>
      <c r="F21" s="82"/>
      <c r="G21" s="81"/>
      <c r="H21" s="82"/>
      <c r="I21" s="83">
        <f t="shared" si="0"/>
        <v>0</v>
      </c>
      <c r="J21" s="81"/>
      <c r="K21" s="81"/>
      <c r="L21" s="84"/>
      <c r="M21" s="85"/>
      <c r="N21" s="85"/>
      <c r="O21" s="85"/>
      <c r="P21" s="86">
        <f t="shared" si="1"/>
        <v>0</v>
      </c>
    </row>
    <row r="22" spans="1:16" ht="13.5" thickTop="1"/>
  </sheetData>
  <phoneticPr fontId="0" type="noConversion"/>
  <printOptions gridLinesSet="0"/>
  <pageMargins left="1.04" right="0.89" top="1" bottom="1" header="0.5" footer="0.5"/>
  <pageSetup scale="56" orientation="landscape" horizontalDpi="4294967292" verticalDpi="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"/>
    </sheetView>
  </sheetViews>
  <sheetFormatPr defaultRowHeight="12.75"/>
  <cols>
    <col min="1" max="1" width="24.140625" style="19" customWidth="1"/>
    <col min="2" max="2" width="42" style="19" customWidth="1"/>
    <col min="3" max="3" width="22.85546875" style="27" customWidth="1"/>
    <col min="4" max="16384" width="9.140625" style="5"/>
  </cols>
  <sheetData>
    <row r="1" spans="1:3" ht="54" customHeight="1" thickTop="1" thickBot="1">
      <c r="A1" s="90" t="s">
        <v>14</v>
      </c>
      <c r="B1" s="91"/>
      <c r="C1" s="92"/>
    </row>
    <row r="2" spans="1:3" ht="16.5" thickBot="1">
      <c r="A2" s="36" t="s">
        <v>15</v>
      </c>
      <c r="B2" s="28" t="s">
        <v>16</v>
      </c>
      <c r="C2" s="29" t="s">
        <v>17</v>
      </c>
    </row>
    <row r="3" spans="1:3" s="19" customFormat="1" ht="52.5" thickTop="1" thickBot="1">
      <c r="A3" s="20" t="s">
        <v>18</v>
      </c>
      <c r="B3" s="21" t="s">
        <v>19</v>
      </c>
      <c r="C3" s="22">
        <v>10</v>
      </c>
    </row>
    <row r="4" spans="1:3" s="19" customFormat="1" ht="51.75" thickBot="1">
      <c r="A4" s="20" t="s">
        <v>20</v>
      </c>
      <c r="B4" s="21" t="s">
        <v>21</v>
      </c>
      <c r="C4" s="22">
        <v>9</v>
      </c>
    </row>
    <row r="5" spans="1:3" s="19" customFormat="1" ht="26.25" thickBot="1">
      <c r="A5" s="20" t="s">
        <v>22</v>
      </c>
      <c r="B5" s="21" t="s">
        <v>23</v>
      </c>
      <c r="C5" s="22">
        <v>8</v>
      </c>
    </row>
    <row r="6" spans="1:3" s="19" customFormat="1" ht="25.5">
      <c r="A6" s="93" t="s">
        <v>24</v>
      </c>
      <c r="B6" s="23" t="s">
        <v>25</v>
      </c>
      <c r="C6" s="95">
        <v>7</v>
      </c>
    </row>
    <row r="7" spans="1:3" s="19" customFormat="1" ht="13.5" thickBot="1">
      <c r="A7" s="94"/>
      <c r="B7" s="21" t="s">
        <v>26</v>
      </c>
      <c r="C7" s="96"/>
    </row>
    <row r="8" spans="1:3" s="19" customFormat="1" ht="25.5">
      <c r="A8" s="93" t="s">
        <v>27</v>
      </c>
      <c r="B8" s="23" t="s">
        <v>28</v>
      </c>
      <c r="C8" s="95">
        <v>6</v>
      </c>
    </row>
    <row r="9" spans="1:3" s="19" customFormat="1" ht="13.5" thickBot="1">
      <c r="A9" s="94"/>
      <c r="B9" s="21" t="s">
        <v>26</v>
      </c>
      <c r="C9" s="96"/>
    </row>
    <row r="10" spans="1:3" s="19" customFormat="1" ht="38.25">
      <c r="A10" s="93" t="s">
        <v>29</v>
      </c>
      <c r="B10" s="23" t="s">
        <v>30</v>
      </c>
      <c r="C10" s="95">
        <v>5</v>
      </c>
    </row>
    <row r="11" spans="1:3" s="19" customFormat="1" ht="13.5" thickBot="1">
      <c r="A11" s="94"/>
      <c r="B11" s="21" t="s">
        <v>31</v>
      </c>
      <c r="C11" s="96"/>
    </row>
    <row r="12" spans="1:3" s="19" customFormat="1" ht="25.5">
      <c r="A12" s="93" t="s">
        <v>32</v>
      </c>
      <c r="B12" s="23" t="s">
        <v>33</v>
      </c>
      <c r="C12" s="95">
        <v>4</v>
      </c>
    </row>
    <row r="13" spans="1:3" s="19" customFormat="1" ht="13.5" thickBot="1">
      <c r="A13" s="94"/>
      <c r="B13" s="21" t="s">
        <v>34</v>
      </c>
      <c r="C13" s="96"/>
    </row>
    <row r="14" spans="1:3" s="19" customFormat="1" ht="25.5">
      <c r="A14" s="93" t="s">
        <v>35</v>
      </c>
      <c r="B14" s="23" t="s">
        <v>33</v>
      </c>
      <c r="C14" s="95">
        <v>3</v>
      </c>
    </row>
    <row r="15" spans="1:3" s="19" customFormat="1" ht="13.5" thickBot="1">
      <c r="A15" s="94"/>
      <c r="B15" s="21" t="s">
        <v>36</v>
      </c>
      <c r="C15" s="96"/>
    </row>
    <row r="16" spans="1:3" s="19" customFormat="1" ht="25.5">
      <c r="A16" s="93" t="s">
        <v>37</v>
      </c>
      <c r="B16" s="23" t="s">
        <v>33</v>
      </c>
      <c r="C16" s="95">
        <v>2</v>
      </c>
    </row>
    <row r="17" spans="1:3" s="19" customFormat="1" ht="13.5" thickBot="1">
      <c r="A17" s="94"/>
      <c r="B17" s="21" t="s">
        <v>38</v>
      </c>
      <c r="C17" s="96"/>
    </row>
    <row r="18" spans="1:3" s="19" customFormat="1" ht="13.5" thickBot="1">
      <c r="A18" s="24" t="s">
        <v>39</v>
      </c>
      <c r="B18" s="25" t="s">
        <v>40</v>
      </c>
      <c r="C18" s="26">
        <v>1</v>
      </c>
    </row>
    <row r="19" spans="1:3" ht="13.5" thickTop="1"/>
  </sheetData>
  <mergeCells count="13">
    <mergeCell ref="A16:A17"/>
    <mergeCell ref="C16:C17"/>
    <mergeCell ref="A10:A11"/>
    <mergeCell ref="C10:C11"/>
    <mergeCell ref="A12:A13"/>
    <mergeCell ref="C12:C13"/>
    <mergeCell ref="A1:C1"/>
    <mergeCell ref="A6:A7"/>
    <mergeCell ref="C6:C7"/>
    <mergeCell ref="A8:A9"/>
    <mergeCell ref="C8:C9"/>
    <mergeCell ref="A14:A15"/>
    <mergeCell ref="C14:C15"/>
  </mergeCells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defaultRowHeight="12.75"/>
  <cols>
    <col min="1" max="1" width="30.7109375" style="19" customWidth="1"/>
    <col min="2" max="2" width="23" style="19" customWidth="1"/>
    <col min="3" max="3" width="17.140625" style="27" customWidth="1"/>
    <col min="4" max="16384" width="9.140625" style="19"/>
  </cols>
  <sheetData>
    <row r="1" spans="1:3" ht="36" customHeight="1" thickTop="1" thickBot="1">
      <c r="A1" s="98" t="s">
        <v>41</v>
      </c>
      <c r="B1" s="99"/>
      <c r="C1" s="100"/>
    </row>
    <row r="2" spans="1:3" ht="32.25" thickBot="1">
      <c r="A2" s="56" t="s">
        <v>42</v>
      </c>
      <c r="B2" s="57" t="s">
        <v>43</v>
      </c>
      <c r="C2" s="58" t="s">
        <v>17</v>
      </c>
    </row>
    <row r="3" spans="1:3" ht="50.25" customHeight="1" thickBot="1">
      <c r="A3" s="97" t="s">
        <v>44</v>
      </c>
      <c r="B3" s="59" t="s">
        <v>45</v>
      </c>
      <c r="C3" s="60">
        <v>10</v>
      </c>
    </row>
    <row r="4" spans="1:3" ht="13.5" thickBot="1">
      <c r="A4" s="97"/>
      <c r="B4" s="61" t="s">
        <v>46</v>
      </c>
      <c r="C4" s="60">
        <v>9</v>
      </c>
    </row>
    <row r="5" spans="1:3" ht="24.75" customHeight="1" thickBot="1">
      <c r="A5" s="97" t="s">
        <v>47</v>
      </c>
      <c r="B5" s="61" t="s">
        <v>48</v>
      </c>
      <c r="C5" s="60">
        <v>8</v>
      </c>
    </row>
    <row r="6" spans="1:3" ht="13.5" thickBot="1">
      <c r="A6" s="97"/>
      <c r="B6" s="61" t="s">
        <v>49</v>
      </c>
      <c r="C6" s="60">
        <v>7</v>
      </c>
    </row>
    <row r="7" spans="1:3" ht="13.5" thickBot="1">
      <c r="A7" s="97" t="s">
        <v>50</v>
      </c>
      <c r="B7" s="61" t="s">
        <v>51</v>
      </c>
      <c r="C7" s="60">
        <v>6</v>
      </c>
    </row>
    <row r="8" spans="1:3" ht="13.5" thickBot="1">
      <c r="A8" s="97"/>
      <c r="B8" s="61" t="s">
        <v>52</v>
      </c>
      <c r="C8" s="60">
        <v>5</v>
      </c>
    </row>
    <row r="9" spans="1:3" ht="13.5" thickBot="1">
      <c r="A9" s="97"/>
      <c r="B9" s="61" t="s">
        <v>53</v>
      </c>
      <c r="C9" s="60">
        <v>4</v>
      </c>
    </row>
    <row r="10" spans="1:3" ht="13.5" thickBot="1">
      <c r="A10" s="97" t="s">
        <v>54</v>
      </c>
      <c r="B10" s="61" t="s">
        <v>55</v>
      </c>
      <c r="C10" s="60">
        <v>3</v>
      </c>
    </row>
    <row r="11" spans="1:3" ht="13.5" thickBot="1">
      <c r="A11" s="97"/>
      <c r="B11" s="61" t="s">
        <v>56</v>
      </c>
      <c r="C11" s="60">
        <v>2</v>
      </c>
    </row>
    <row r="12" spans="1:3" ht="13.5" thickBot="1">
      <c r="A12" s="62" t="s">
        <v>57</v>
      </c>
      <c r="B12" s="63" t="s">
        <v>58</v>
      </c>
      <c r="C12" s="64">
        <v>1</v>
      </c>
    </row>
    <row r="13" spans="1:3" ht="13.5" thickTop="1"/>
  </sheetData>
  <mergeCells count="5">
    <mergeCell ref="A10:A11"/>
    <mergeCell ref="A1:C1"/>
    <mergeCell ref="A3:A4"/>
    <mergeCell ref="A5:A6"/>
    <mergeCell ref="A7:A9"/>
  </mergeCells>
  <phoneticPr fontId="9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defaultRowHeight="12.75"/>
  <cols>
    <col min="1" max="1" width="18.85546875" style="5" customWidth="1"/>
    <col min="2" max="2" width="35.5703125" style="5" customWidth="1"/>
    <col min="3" max="3" width="14.42578125" style="5" customWidth="1"/>
    <col min="4" max="16384" width="9.140625" style="5"/>
  </cols>
  <sheetData>
    <row r="1" spans="1:3" ht="54" customHeight="1" thickTop="1" thickBot="1">
      <c r="A1" s="101" t="s">
        <v>59</v>
      </c>
      <c r="B1" s="102"/>
      <c r="C1" s="103"/>
    </row>
    <row r="2" spans="1:3" ht="16.5" thickBot="1">
      <c r="A2" s="36" t="s">
        <v>60</v>
      </c>
      <c r="B2" s="28" t="s">
        <v>16</v>
      </c>
      <c r="C2" s="29" t="s">
        <v>17</v>
      </c>
    </row>
    <row r="3" spans="1:3" ht="52.5" thickTop="1" thickBot="1">
      <c r="A3" s="37" t="s">
        <v>61</v>
      </c>
      <c r="B3" s="38" t="s">
        <v>62</v>
      </c>
      <c r="C3" s="32">
        <v>10</v>
      </c>
    </row>
    <row r="4" spans="1:3" ht="51.75" thickBot="1">
      <c r="A4" s="37" t="s">
        <v>63</v>
      </c>
      <c r="B4" s="38" t="s">
        <v>64</v>
      </c>
      <c r="C4" s="32">
        <v>9</v>
      </c>
    </row>
    <row r="5" spans="1:3" ht="39" thickBot="1">
      <c r="A5" s="37" t="s">
        <v>65</v>
      </c>
      <c r="B5" s="38" t="s">
        <v>66</v>
      </c>
      <c r="C5" s="32">
        <v>8</v>
      </c>
    </row>
    <row r="6" spans="1:3" ht="39" thickBot="1">
      <c r="A6" s="37" t="s">
        <v>32</v>
      </c>
      <c r="B6" s="38" t="s">
        <v>67</v>
      </c>
      <c r="C6" s="32">
        <v>7</v>
      </c>
    </row>
    <row r="7" spans="1:3" ht="39" thickBot="1">
      <c r="A7" s="37" t="s">
        <v>29</v>
      </c>
      <c r="B7" s="38" t="s">
        <v>68</v>
      </c>
      <c r="C7" s="32">
        <v>6</v>
      </c>
    </row>
    <row r="8" spans="1:3" ht="39" thickBot="1">
      <c r="A8" s="37" t="s">
        <v>27</v>
      </c>
      <c r="B8" s="38" t="s">
        <v>69</v>
      </c>
      <c r="C8" s="32">
        <v>5</v>
      </c>
    </row>
    <row r="9" spans="1:3" ht="51.75" thickBot="1">
      <c r="A9" s="37" t="s">
        <v>70</v>
      </c>
      <c r="B9" s="38" t="s">
        <v>71</v>
      </c>
      <c r="C9" s="32">
        <v>4</v>
      </c>
    </row>
    <row r="10" spans="1:3" ht="39" thickBot="1">
      <c r="A10" s="37" t="s">
        <v>24</v>
      </c>
      <c r="B10" s="38" t="s">
        <v>72</v>
      </c>
      <c r="C10" s="32">
        <v>3</v>
      </c>
    </row>
    <row r="11" spans="1:3" ht="39" thickBot="1">
      <c r="A11" s="37" t="s">
        <v>22</v>
      </c>
      <c r="B11" s="38" t="s">
        <v>73</v>
      </c>
      <c r="C11" s="32">
        <v>2</v>
      </c>
    </row>
    <row r="12" spans="1:3" ht="39" thickBot="1">
      <c r="A12" s="39" t="s">
        <v>74</v>
      </c>
      <c r="B12" s="40" t="s">
        <v>75</v>
      </c>
      <c r="C12" s="35">
        <v>1</v>
      </c>
    </row>
    <row r="13" spans="1:3" ht="13.5" thickTop="1"/>
  </sheetData>
  <mergeCells count="1">
    <mergeCell ref="A1:C1"/>
  </mergeCells>
  <phoneticPr fontId="9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sqref="A1:C1"/>
    </sheetView>
  </sheetViews>
  <sheetFormatPr defaultRowHeight="12.75"/>
  <cols>
    <col min="1" max="1" width="14.42578125" style="5" customWidth="1"/>
    <col min="2" max="2" width="24.7109375" style="5" customWidth="1"/>
    <col min="3" max="3" width="23.28515625" style="5" customWidth="1"/>
    <col min="4" max="16384" width="9.140625" style="5"/>
  </cols>
  <sheetData>
    <row r="1" spans="1:3" ht="54" customHeight="1" thickTop="1" thickBot="1">
      <c r="A1" s="90" t="s">
        <v>14</v>
      </c>
      <c r="B1" s="91"/>
      <c r="C1" s="92"/>
    </row>
    <row r="2" spans="1:3" ht="16.5" thickBot="1">
      <c r="A2" s="36" t="s">
        <v>15</v>
      </c>
      <c r="B2" s="28" t="s">
        <v>16</v>
      </c>
      <c r="C2" s="29" t="s">
        <v>17</v>
      </c>
    </row>
    <row r="3" spans="1:3" ht="26.25" thickTop="1">
      <c r="A3" s="104" t="s">
        <v>18</v>
      </c>
      <c r="B3" s="53" t="s">
        <v>76</v>
      </c>
      <c r="C3" s="107">
        <v>10</v>
      </c>
    </row>
    <row r="4" spans="1:3" ht="51">
      <c r="A4" s="105"/>
      <c r="B4" s="53" t="s">
        <v>77</v>
      </c>
      <c r="C4" s="108"/>
    </row>
    <row r="5" spans="1:3" ht="26.25" thickBot="1">
      <c r="A5" s="106"/>
      <c r="B5" s="54" t="s">
        <v>78</v>
      </c>
      <c r="C5" s="109"/>
    </row>
    <row r="6" spans="1:3" ht="25.5">
      <c r="A6" s="110" t="s">
        <v>20</v>
      </c>
      <c r="B6" s="53" t="s">
        <v>76</v>
      </c>
      <c r="C6" s="111">
        <v>9</v>
      </c>
    </row>
    <row r="7" spans="1:3" ht="51">
      <c r="A7" s="105"/>
      <c r="B7" s="53" t="s">
        <v>77</v>
      </c>
      <c r="C7" s="108"/>
    </row>
    <row r="8" spans="1:3" ht="26.25" thickBot="1">
      <c r="A8" s="106"/>
      <c r="B8" s="54" t="s">
        <v>79</v>
      </c>
      <c r="C8" s="109"/>
    </row>
    <row r="9" spans="1:3" ht="25.5">
      <c r="A9" s="110" t="s">
        <v>22</v>
      </c>
      <c r="B9" s="53" t="s">
        <v>80</v>
      </c>
      <c r="C9" s="111">
        <v>8</v>
      </c>
    </row>
    <row r="10" spans="1:3" ht="25.5">
      <c r="A10" s="105"/>
      <c r="B10" s="53" t="s">
        <v>81</v>
      </c>
      <c r="C10" s="108"/>
    </row>
    <row r="11" spans="1:3" ht="38.25">
      <c r="A11" s="105"/>
      <c r="B11" s="53" t="s">
        <v>82</v>
      </c>
      <c r="C11" s="108"/>
    </row>
    <row r="12" spans="1:3" ht="26.25" thickBot="1">
      <c r="A12" s="106"/>
      <c r="B12" s="54" t="s">
        <v>83</v>
      </c>
      <c r="C12" s="109"/>
    </row>
    <row r="13" spans="1:3" ht="25.5">
      <c r="A13" s="110" t="s">
        <v>24</v>
      </c>
      <c r="B13" s="53" t="s">
        <v>84</v>
      </c>
      <c r="C13" s="111">
        <v>7</v>
      </c>
    </row>
    <row r="14" spans="1:3" ht="38.25">
      <c r="A14" s="105"/>
      <c r="B14" s="53" t="s">
        <v>85</v>
      </c>
      <c r="C14" s="108"/>
    </row>
    <row r="15" spans="1:3" ht="63.75">
      <c r="A15" s="105"/>
      <c r="B15" s="53" t="s">
        <v>86</v>
      </c>
      <c r="C15" s="108"/>
    </row>
    <row r="16" spans="1:3" ht="13.5" thickBot="1">
      <c r="A16" s="106"/>
      <c r="B16" s="54" t="s">
        <v>26</v>
      </c>
      <c r="C16" s="109"/>
    </row>
    <row r="17" spans="1:3" ht="25.5">
      <c r="A17" s="110" t="s">
        <v>27</v>
      </c>
      <c r="B17" s="53" t="s">
        <v>84</v>
      </c>
      <c r="C17" s="111">
        <v>6</v>
      </c>
    </row>
    <row r="18" spans="1:3" ht="38.25">
      <c r="A18" s="105"/>
      <c r="B18" s="53" t="s">
        <v>87</v>
      </c>
      <c r="C18" s="108"/>
    </row>
    <row r="19" spans="1:3" ht="63.75">
      <c r="A19" s="105"/>
      <c r="B19" s="53" t="s">
        <v>88</v>
      </c>
      <c r="C19" s="108"/>
    </row>
    <row r="20" spans="1:3" ht="13.5" thickBot="1">
      <c r="A20" s="106"/>
      <c r="B20" s="54" t="s">
        <v>26</v>
      </c>
      <c r="C20" s="109"/>
    </row>
    <row r="21" spans="1:3" ht="25.5">
      <c r="A21" s="110" t="s">
        <v>29</v>
      </c>
      <c r="B21" s="53" t="s">
        <v>84</v>
      </c>
      <c r="C21" s="111">
        <v>5</v>
      </c>
    </row>
    <row r="22" spans="1:3" ht="25.5">
      <c r="A22" s="105"/>
      <c r="B22" s="53" t="s">
        <v>89</v>
      </c>
      <c r="C22" s="108"/>
    </row>
    <row r="23" spans="1:3" ht="51">
      <c r="A23" s="105"/>
      <c r="B23" s="53" t="s">
        <v>90</v>
      </c>
      <c r="C23" s="108"/>
    </row>
    <row r="24" spans="1:3" ht="26.25" thickBot="1">
      <c r="A24" s="106"/>
      <c r="B24" s="54" t="s">
        <v>91</v>
      </c>
      <c r="C24" s="109"/>
    </row>
    <row r="25" spans="1:3" ht="25.5">
      <c r="A25" s="110" t="s">
        <v>32</v>
      </c>
      <c r="B25" s="53" t="s">
        <v>84</v>
      </c>
      <c r="C25" s="111">
        <v>4</v>
      </c>
    </row>
    <row r="26" spans="1:3" ht="38.25">
      <c r="A26" s="105"/>
      <c r="B26" s="53" t="s">
        <v>92</v>
      </c>
      <c r="C26" s="108"/>
    </row>
    <row r="27" spans="1:3" ht="25.5">
      <c r="A27" s="105"/>
      <c r="B27" s="53" t="s">
        <v>93</v>
      </c>
      <c r="C27" s="108"/>
    </row>
    <row r="28" spans="1:3" ht="26.25" thickBot="1">
      <c r="A28" s="106"/>
      <c r="B28" s="54" t="s">
        <v>94</v>
      </c>
      <c r="C28" s="109"/>
    </row>
    <row r="29" spans="1:3" ht="25.5">
      <c r="A29" s="110" t="s">
        <v>35</v>
      </c>
      <c r="B29" s="53" t="s">
        <v>84</v>
      </c>
      <c r="C29" s="111">
        <v>3</v>
      </c>
    </row>
    <row r="30" spans="1:3" ht="51">
      <c r="A30" s="105"/>
      <c r="B30" s="53" t="s">
        <v>95</v>
      </c>
      <c r="C30" s="108"/>
    </row>
    <row r="31" spans="1:3" ht="25.5">
      <c r="A31" s="105"/>
      <c r="B31" s="53" t="s">
        <v>93</v>
      </c>
      <c r="C31" s="108"/>
    </row>
    <row r="32" spans="1:3" ht="26.25" thickBot="1">
      <c r="A32" s="106"/>
      <c r="B32" s="54" t="s">
        <v>94</v>
      </c>
      <c r="C32" s="109"/>
    </row>
    <row r="33" spans="1:3" ht="25.5">
      <c r="A33" s="110" t="s">
        <v>37</v>
      </c>
      <c r="B33" s="53" t="s">
        <v>84</v>
      </c>
      <c r="C33" s="111">
        <v>2</v>
      </c>
    </row>
    <row r="34" spans="1:3" ht="51">
      <c r="A34" s="105"/>
      <c r="B34" s="53" t="s">
        <v>96</v>
      </c>
      <c r="C34" s="108"/>
    </row>
    <row r="35" spans="1:3" ht="25.5">
      <c r="A35" s="105"/>
      <c r="B35" s="53" t="s">
        <v>93</v>
      </c>
      <c r="C35" s="108"/>
    </row>
    <row r="36" spans="1:3" ht="26.25" thickBot="1">
      <c r="A36" s="106"/>
      <c r="B36" s="54" t="s">
        <v>38</v>
      </c>
      <c r="C36" s="109"/>
    </row>
    <row r="37" spans="1:3" ht="13.5" thickBot="1">
      <c r="A37" s="39" t="s">
        <v>39</v>
      </c>
      <c r="B37" s="55" t="s">
        <v>40</v>
      </c>
      <c r="C37" s="35">
        <v>1</v>
      </c>
    </row>
    <row r="38" spans="1:3" ht="13.5" thickTop="1"/>
  </sheetData>
  <mergeCells count="19">
    <mergeCell ref="A33:A36"/>
    <mergeCell ref="C33:C36"/>
    <mergeCell ref="A25:A28"/>
    <mergeCell ref="C25:C28"/>
    <mergeCell ref="A29:A32"/>
    <mergeCell ref="C29:C32"/>
    <mergeCell ref="A21:A24"/>
    <mergeCell ref="C21:C24"/>
    <mergeCell ref="A9:A12"/>
    <mergeCell ref="C9:C12"/>
    <mergeCell ref="A13:A16"/>
    <mergeCell ref="C13:C16"/>
    <mergeCell ref="A1:C1"/>
    <mergeCell ref="A3:A5"/>
    <mergeCell ref="C3:C5"/>
    <mergeCell ref="A6:A8"/>
    <mergeCell ref="C6:C8"/>
    <mergeCell ref="A17:A20"/>
    <mergeCell ref="C17:C20"/>
  </mergeCells>
  <phoneticPr fontId="9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2.75"/>
  <cols>
    <col min="1" max="1" width="16" style="5" customWidth="1"/>
    <col min="2" max="2" width="19.7109375" style="5" customWidth="1"/>
    <col min="3" max="3" width="17.42578125" style="5" customWidth="1"/>
    <col min="4" max="4" width="18.85546875" style="5" customWidth="1"/>
    <col min="5" max="16384" width="9.140625" style="5"/>
  </cols>
  <sheetData>
    <row r="1" spans="1:4" ht="36" customHeight="1" thickTop="1" thickBot="1">
      <c r="A1" s="90" t="s">
        <v>41</v>
      </c>
      <c r="B1" s="91"/>
      <c r="C1" s="91"/>
      <c r="D1" s="92"/>
    </row>
    <row r="2" spans="1:4" ht="32.25" thickBot="1">
      <c r="A2" s="41" t="s">
        <v>42</v>
      </c>
      <c r="B2" s="28" t="s">
        <v>43</v>
      </c>
      <c r="C2" s="28" t="s">
        <v>97</v>
      </c>
      <c r="D2" s="29" t="s">
        <v>17</v>
      </c>
    </row>
    <row r="3" spans="1:4" ht="50.25" customHeight="1" thickTop="1" thickBot="1">
      <c r="A3" s="104" t="s">
        <v>44</v>
      </c>
      <c r="B3" s="42" t="s">
        <v>45</v>
      </c>
      <c r="C3" s="42" t="s">
        <v>98</v>
      </c>
      <c r="D3" s="30">
        <v>10</v>
      </c>
    </row>
    <row r="4" spans="1:4" ht="13.5" thickBot="1">
      <c r="A4" s="112"/>
      <c r="B4" s="43" t="s">
        <v>46</v>
      </c>
      <c r="C4" s="44" t="s">
        <v>99</v>
      </c>
      <c r="D4" s="31">
        <v>9</v>
      </c>
    </row>
    <row r="5" spans="1:4" ht="139.5" customHeight="1" thickTop="1" thickBot="1">
      <c r="A5" s="104" t="s">
        <v>100</v>
      </c>
      <c r="B5" s="45" t="s">
        <v>48</v>
      </c>
      <c r="C5" s="42" t="s">
        <v>101</v>
      </c>
      <c r="D5" s="30">
        <v>8</v>
      </c>
    </row>
    <row r="6" spans="1:4" ht="13.5" thickBot="1">
      <c r="A6" s="112"/>
      <c r="B6" s="43" t="s">
        <v>49</v>
      </c>
      <c r="C6" s="44" t="s">
        <v>102</v>
      </c>
      <c r="D6" s="31">
        <v>7</v>
      </c>
    </row>
    <row r="7" spans="1:4" ht="189.75" customHeight="1" thickTop="1" thickBot="1">
      <c r="A7" s="104" t="s">
        <v>103</v>
      </c>
      <c r="B7" s="38" t="s">
        <v>51</v>
      </c>
      <c r="C7" s="46" t="s">
        <v>104</v>
      </c>
      <c r="D7" s="32">
        <v>6</v>
      </c>
    </row>
    <row r="8" spans="1:4" ht="13.5" thickBot="1">
      <c r="A8" s="105"/>
      <c r="B8" s="45" t="s">
        <v>52</v>
      </c>
      <c r="C8" s="42" t="s">
        <v>105</v>
      </c>
      <c r="D8" s="30">
        <v>5</v>
      </c>
    </row>
    <row r="9" spans="1:4" ht="13.5" thickBot="1">
      <c r="A9" s="112"/>
      <c r="B9" s="47" t="s">
        <v>53</v>
      </c>
      <c r="C9" s="48" t="s">
        <v>106</v>
      </c>
      <c r="D9" s="33">
        <v>4</v>
      </c>
    </row>
    <row r="10" spans="1:4" ht="52.5" thickTop="1" thickBot="1">
      <c r="A10" s="49" t="s">
        <v>107</v>
      </c>
      <c r="B10" s="50" t="s">
        <v>55</v>
      </c>
      <c r="C10" s="51" t="s">
        <v>108</v>
      </c>
      <c r="D10" s="34">
        <v>3</v>
      </c>
    </row>
    <row r="11" spans="1:4" ht="65.25" thickTop="1" thickBot="1">
      <c r="A11" s="39" t="s">
        <v>109</v>
      </c>
      <c r="B11" s="40" t="s">
        <v>56</v>
      </c>
      <c r="C11" s="52" t="s">
        <v>110</v>
      </c>
      <c r="D11" s="35">
        <v>2</v>
      </c>
    </row>
    <row r="12" spans="1:4" ht="78" thickTop="1" thickBot="1">
      <c r="A12" s="39" t="s">
        <v>111</v>
      </c>
      <c r="B12" s="52" t="s">
        <v>58</v>
      </c>
      <c r="C12" s="52" t="s">
        <v>112</v>
      </c>
      <c r="D12" s="35">
        <v>1</v>
      </c>
    </row>
    <row r="13" spans="1:4" ht="13.5" thickTop="1"/>
  </sheetData>
  <mergeCells count="4">
    <mergeCell ref="A1:D1"/>
    <mergeCell ref="A3:A4"/>
    <mergeCell ref="A5:A6"/>
    <mergeCell ref="A7:A9"/>
  </mergeCells>
  <phoneticPr fontId="9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3" sqref="A3"/>
    </sheetView>
  </sheetViews>
  <sheetFormatPr defaultRowHeight="12.75"/>
  <cols>
    <col min="1" max="1" width="22.42578125" style="27" customWidth="1"/>
    <col min="2" max="2" width="28.42578125" style="27" customWidth="1"/>
    <col min="3" max="3" width="21.5703125" style="27" customWidth="1"/>
    <col min="4" max="16384" width="9.140625" style="5"/>
  </cols>
  <sheetData>
    <row r="1" spans="1:3" ht="54" customHeight="1" thickTop="1" thickBot="1">
      <c r="A1" s="101" t="s">
        <v>59</v>
      </c>
      <c r="B1" s="102"/>
      <c r="C1" s="103"/>
    </row>
    <row r="2" spans="1:3" ht="16.5" thickBot="1">
      <c r="A2" s="36" t="s">
        <v>60</v>
      </c>
      <c r="B2" s="28" t="s">
        <v>16</v>
      </c>
      <c r="C2" s="29" t="s">
        <v>17</v>
      </c>
    </row>
    <row r="3" spans="1:3" ht="27" thickTop="1" thickBot="1">
      <c r="A3" s="37" t="s">
        <v>113</v>
      </c>
      <c r="B3" s="38" t="s">
        <v>114</v>
      </c>
      <c r="C3" s="32">
        <v>10</v>
      </c>
    </row>
    <row r="4" spans="1:3" ht="39" thickBot="1">
      <c r="A4" s="37" t="s">
        <v>63</v>
      </c>
      <c r="B4" s="38" t="s">
        <v>115</v>
      </c>
      <c r="C4" s="32">
        <v>9</v>
      </c>
    </row>
    <row r="5" spans="1:3" ht="39" thickBot="1">
      <c r="A5" s="37" t="s">
        <v>65</v>
      </c>
      <c r="B5" s="38" t="s">
        <v>116</v>
      </c>
      <c r="C5" s="32">
        <v>8</v>
      </c>
    </row>
    <row r="6" spans="1:3" ht="39" thickBot="1">
      <c r="A6" s="37" t="s">
        <v>32</v>
      </c>
      <c r="B6" s="38" t="s">
        <v>117</v>
      </c>
      <c r="C6" s="32">
        <v>7</v>
      </c>
    </row>
    <row r="7" spans="1:3" ht="26.25" thickBot="1">
      <c r="A7" s="37" t="s">
        <v>29</v>
      </c>
      <c r="B7" s="38" t="s">
        <v>118</v>
      </c>
      <c r="C7" s="32">
        <v>6</v>
      </c>
    </row>
    <row r="8" spans="1:3" ht="39" thickBot="1">
      <c r="A8" s="37" t="s">
        <v>27</v>
      </c>
      <c r="B8" s="38" t="s">
        <v>119</v>
      </c>
      <c r="C8" s="32">
        <v>5</v>
      </c>
    </row>
    <row r="9" spans="1:3" ht="39" thickBot="1">
      <c r="A9" s="37" t="s">
        <v>70</v>
      </c>
      <c r="B9" s="38" t="s">
        <v>120</v>
      </c>
      <c r="C9" s="32">
        <v>4</v>
      </c>
    </row>
    <row r="10" spans="1:3" ht="26.25" thickBot="1">
      <c r="A10" s="37" t="s">
        <v>24</v>
      </c>
      <c r="B10" s="38" t="s">
        <v>121</v>
      </c>
      <c r="C10" s="32">
        <v>3</v>
      </c>
    </row>
    <row r="11" spans="1:3" ht="39" thickBot="1">
      <c r="A11" s="37" t="s">
        <v>22</v>
      </c>
      <c r="B11" s="38" t="s">
        <v>122</v>
      </c>
      <c r="C11" s="32">
        <v>2</v>
      </c>
    </row>
    <row r="12" spans="1:3" ht="51.75" thickBot="1">
      <c r="A12" s="39" t="s">
        <v>74</v>
      </c>
      <c r="B12" s="40" t="s">
        <v>123</v>
      </c>
      <c r="C12" s="35">
        <v>1</v>
      </c>
    </row>
    <row r="13" spans="1:3" ht="13.5" thickTop="1"/>
  </sheetData>
  <mergeCells count="1">
    <mergeCell ref="A1:C1"/>
  </mergeCells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FMEA</vt:lpstr>
      <vt:lpstr>Product - Severity</vt:lpstr>
      <vt:lpstr>Product - Occurence</vt:lpstr>
      <vt:lpstr>Product - Detection</vt:lpstr>
      <vt:lpstr>Process - Severity</vt:lpstr>
      <vt:lpstr>Process - Occurence</vt:lpstr>
      <vt:lpstr>Process -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FMEA Template</dc:title>
  <dc:subject/>
  <dc:creator>OPEX Resources</dc:creator>
  <dc:description>Copyright OPEX Resources Ltd 2014</dc:description>
  <cp:lastModifiedBy>Quentin Brook</cp:lastModifiedBy>
  <dcterms:created xsi:type="dcterms:W3CDTF">2003-10-07T11:00:21Z</dcterms:created>
  <dcterms:modified xsi:type="dcterms:W3CDTF">2022-12-02T10:12:20Z</dcterms:modified>
</cp:coreProperties>
</file>