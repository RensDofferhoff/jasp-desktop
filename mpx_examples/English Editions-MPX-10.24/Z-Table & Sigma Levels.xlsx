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ent\OneDrive\OneDrive DOCS\Material Development\Book\Data Files\English Editions 3-4-5-6-7-V21\"/>
    </mc:Choice>
  </mc:AlternateContent>
  <xr:revisionPtr revIDLastSave="0" documentId="8_{D07E8A17-2ADB-46D7-B90D-7E53064A9FEA}" xr6:coauthVersionLast="47" xr6:coauthVersionMax="47" xr10:uidLastSave="{00000000-0000-0000-0000-000000000000}"/>
  <bookViews>
    <workbookView xWindow="-120" yWindow="-120" windowWidth="29040" windowHeight="15840" firstSheet="1" activeTab="1"/>
  </bookViews>
  <sheets>
    <sheet name="Sigma Level Calculator" sheetId="3" r:id="rId1"/>
    <sheet name="Z-Table Calculator" sheetId="7" r:id="rId2"/>
    <sheet name="Abbreviated Z-Table" sheetId="4" r:id="rId3"/>
    <sheet name="Full Z-Tabl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G9" i="7"/>
  <c r="G13" i="7" s="1"/>
  <c r="G11" i="7"/>
  <c r="H37" i="3"/>
  <c r="H35" i="3"/>
  <c r="H39" i="3" s="1"/>
  <c r="G22" i="3"/>
  <c r="H27" i="3" s="1"/>
  <c r="J27" i="3" s="1"/>
  <c r="G10" i="3"/>
  <c r="H14" i="3" s="1"/>
  <c r="J14" i="3" s="1"/>
  <c r="D66" i="6"/>
  <c r="F66" i="6" s="1"/>
  <c r="E66" i="6"/>
  <c r="D67" i="6"/>
  <c r="F67" i="6"/>
  <c r="E67" i="6"/>
  <c r="D68" i="6"/>
  <c r="F68" i="6"/>
  <c r="E68" i="6"/>
  <c r="D69" i="6"/>
  <c r="F69" i="6" s="1"/>
  <c r="E69" i="6"/>
  <c r="D70" i="6"/>
  <c r="E70" i="6"/>
  <c r="F70" i="6"/>
  <c r="D71" i="6"/>
  <c r="F71" i="6"/>
  <c r="E71" i="6"/>
  <c r="D72" i="6"/>
  <c r="F72" i="6" s="1"/>
  <c r="E72" i="6"/>
  <c r="D73" i="6"/>
  <c r="E73" i="6"/>
  <c r="F73" i="6"/>
  <c r="D74" i="6"/>
  <c r="F74" i="6" s="1"/>
  <c r="E74" i="6"/>
  <c r="D75" i="6"/>
  <c r="F75" i="6"/>
  <c r="E75" i="6"/>
  <c r="D76" i="6"/>
  <c r="F76" i="6"/>
  <c r="E76" i="6"/>
  <c r="D77" i="6"/>
  <c r="F77" i="6" s="1"/>
  <c r="E77" i="6"/>
  <c r="D78" i="6"/>
  <c r="E78" i="6"/>
  <c r="F78" i="6"/>
  <c r="D79" i="6"/>
  <c r="F79" i="6"/>
  <c r="E79" i="6"/>
  <c r="D80" i="6"/>
  <c r="F80" i="6" s="1"/>
  <c r="E80" i="6"/>
  <c r="D81" i="6"/>
  <c r="E81" i="6"/>
  <c r="F81" i="6"/>
  <c r="D82" i="6"/>
  <c r="F82" i="6" s="1"/>
  <c r="E82" i="6"/>
  <c r="D83" i="6"/>
  <c r="F83" i="6"/>
  <c r="E83" i="6"/>
  <c r="D84" i="6"/>
  <c r="F84" i="6"/>
  <c r="E84" i="6"/>
  <c r="D85" i="6"/>
  <c r="F85" i="6" s="1"/>
  <c r="E85" i="6"/>
  <c r="D86" i="6"/>
  <c r="E86" i="6"/>
  <c r="F86" i="6"/>
  <c r="D87" i="6"/>
  <c r="F87" i="6"/>
  <c r="E87" i="6"/>
  <c r="D88" i="6"/>
  <c r="F88" i="6" s="1"/>
  <c r="E88" i="6"/>
  <c r="D89" i="6"/>
  <c r="E89" i="6"/>
  <c r="F89" i="6"/>
  <c r="D90" i="6"/>
  <c r="F90" i="6" s="1"/>
  <c r="E90" i="6"/>
  <c r="D91" i="6"/>
  <c r="F91" i="6"/>
  <c r="E91" i="6"/>
  <c r="D92" i="6"/>
  <c r="F92" i="6"/>
  <c r="E92" i="6"/>
  <c r="D93" i="6"/>
  <c r="F93" i="6" s="1"/>
  <c r="E93" i="6"/>
  <c r="D94" i="6"/>
  <c r="E94" i="6"/>
  <c r="F94" i="6"/>
  <c r="D95" i="6"/>
  <c r="F95" i="6"/>
  <c r="E95" i="6"/>
  <c r="D96" i="6"/>
  <c r="F96" i="6" s="1"/>
  <c r="E96" i="6"/>
  <c r="D97" i="6"/>
  <c r="E97" i="6"/>
  <c r="F97" i="6"/>
  <c r="D98" i="6"/>
  <c r="F98" i="6" s="1"/>
  <c r="E98" i="6"/>
  <c r="D99" i="6"/>
  <c r="F99" i="6"/>
  <c r="E99" i="6"/>
  <c r="D100" i="6"/>
  <c r="F100" i="6"/>
  <c r="E100" i="6"/>
  <c r="D101" i="6"/>
  <c r="F101" i="6" s="1"/>
  <c r="E101" i="6"/>
  <c r="D102" i="6"/>
  <c r="E102" i="6"/>
  <c r="F102" i="6"/>
  <c r="D103" i="6"/>
  <c r="F103" i="6"/>
  <c r="E103" i="6"/>
  <c r="D104" i="6"/>
  <c r="F104" i="6" s="1"/>
  <c r="E104" i="6"/>
  <c r="D105" i="6"/>
  <c r="E105" i="6"/>
  <c r="F105" i="6"/>
  <c r="D106" i="6"/>
  <c r="F106" i="6" s="1"/>
  <c r="E106" i="6"/>
  <c r="D107" i="6"/>
  <c r="F107" i="6"/>
  <c r="E107" i="6"/>
  <c r="D108" i="6"/>
  <c r="F108" i="6"/>
  <c r="E108" i="6"/>
  <c r="D109" i="6"/>
  <c r="F109" i="6" s="1"/>
  <c r="E109" i="6"/>
  <c r="D110" i="6"/>
  <c r="E110" i="6"/>
  <c r="F110" i="6"/>
  <c r="D111" i="6"/>
  <c r="F111" i="6"/>
  <c r="E111" i="6"/>
  <c r="D112" i="6"/>
  <c r="F112" i="6" s="1"/>
  <c r="E112" i="6"/>
  <c r="D113" i="6"/>
  <c r="E113" i="6"/>
  <c r="F113" i="6"/>
  <c r="D114" i="6"/>
  <c r="F114" i="6" s="1"/>
  <c r="E114" i="6"/>
  <c r="D115" i="6"/>
  <c r="F115" i="6"/>
  <c r="E115" i="6"/>
  <c r="D116" i="6"/>
  <c r="F116" i="6"/>
  <c r="E116" i="6"/>
  <c r="D117" i="6"/>
  <c r="F117" i="6" s="1"/>
  <c r="E117" i="6"/>
  <c r="D118" i="6"/>
  <c r="E118" i="6"/>
  <c r="F118" i="6"/>
  <c r="D119" i="6"/>
  <c r="F119" i="6"/>
  <c r="E119" i="6"/>
  <c r="D120" i="6"/>
  <c r="F120" i="6" s="1"/>
  <c r="E120" i="6"/>
  <c r="D121" i="6"/>
  <c r="E121" i="6"/>
  <c r="F121" i="6"/>
  <c r="D122" i="6"/>
  <c r="F122" i="6" s="1"/>
  <c r="E122" i="6"/>
  <c r="D123" i="6"/>
  <c r="F123" i="6"/>
  <c r="E123" i="6"/>
  <c r="D124" i="6"/>
  <c r="F124" i="6"/>
  <c r="E124" i="6"/>
  <c r="D125" i="6"/>
  <c r="F125" i="6" s="1"/>
  <c r="E125" i="6"/>
  <c r="D126" i="6"/>
  <c r="E126" i="6"/>
  <c r="F126" i="6"/>
  <c r="D127" i="6"/>
  <c r="F127" i="6"/>
  <c r="E127" i="6"/>
  <c r="D128" i="6"/>
  <c r="F128" i="6" s="1"/>
  <c r="E128" i="6"/>
  <c r="D129" i="6"/>
  <c r="E129" i="6"/>
  <c r="F129" i="6"/>
  <c r="D130" i="6"/>
  <c r="F130" i="6" s="1"/>
  <c r="E130" i="6"/>
  <c r="D131" i="6"/>
  <c r="F131" i="6"/>
  <c r="E131" i="6"/>
  <c r="D132" i="6"/>
  <c r="F132" i="6"/>
  <c r="E132" i="6"/>
  <c r="D133" i="6"/>
  <c r="F133" i="6" s="1"/>
  <c r="E133" i="6"/>
  <c r="D134" i="6"/>
  <c r="E134" i="6"/>
  <c r="F134" i="6"/>
  <c r="D135" i="6"/>
  <c r="F135" i="6"/>
  <c r="E135" i="6"/>
  <c r="D136" i="6"/>
  <c r="F136" i="6" s="1"/>
  <c r="E136" i="6"/>
  <c r="D137" i="6"/>
  <c r="E137" i="6"/>
  <c r="F137" i="6"/>
  <c r="D138" i="6"/>
  <c r="F138" i="6" s="1"/>
  <c r="E138" i="6"/>
  <c r="D139" i="6"/>
  <c r="F139" i="6"/>
  <c r="E139" i="6"/>
  <c r="D140" i="6"/>
  <c r="F140" i="6"/>
  <c r="E140" i="6"/>
  <c r="D141" i="6"/>
  <c r="F141" i="6" s="1"/>
  <c r="E141" i="6"/>
  <c r="D142" i="6"/>
  <c r="E142" i="6"/>
  <c r="F142" i="6"/>
  <c r="D143" i="6"/>
  <c r="F143" i="6"/>
  <c r="E143" i="6"/>
  <c r="D144" i="6"/>
  <c r="F144" i="6" s="1"/>
  <c r="E144" i="6"/>
  <c r="D145" i="6"/>
  <c r="E145" i="6"/>
  <c r="F145" i="6"/>
  <c r="D146" i="6"/>
  <c r="F146" i="6" s="1"/>
  <c r="E146" i="6"/>
  <c r="D147" i="6"/>
  <c r="F147" i="6"/>
  <c r="E147" i="6"/>
  <c r="D148" i="6"/>
  <c r="F148" i="6"/>
  <c r="E148" i="6"/>
  <c r="D149" i="6"/>
  <c r="F149" i="6" s="1"/>
  <c r="E149" i="6"/>
  <c r="D150" i="6"/>
  <c r="E150" i="6"/>
  <c r="F150" i="6"/>
  <c r="D151" i="6"/>
  <c r="F151" i="6"/>
  <c r="E151" i="6"/>
  <c r="D152" i="6"/>
  <c r="F152" i="6" s="1"/>
  <c r="E152" i="6"/>
  <c r="D153" i="6"/>
  <c r="E153" i="6"/>
  <c r="F153" i="6"/>
  <c r="D154" i="6"/>
  <c r="F154" i="6" s="1"/>
  <c r="E154" i="6"/>
  <c r="D155" i="6"/>
  <c r="F155" i="6"/>
  <c r="E155" i="6"/>
  <c r="D156" i="6"/>
  <c r="F156" i="6"/>
  <c r="E156" i="6"/>
  <c r="D157" i="6"/>
  <c r="F157" i="6" s="1"/>
  <c r="E157" i="6"/>
  <c r="D158" i="6"/>
  <c r="E158" i="6"/>
  <c r="F158" i="6"/>
  <c r="D159" i="6"/>
  <c r="F159" i="6"/>
  <c r="E159" i="6"/>
  <c r="D160" i="6"/>
  <c r="F160" i="6" s="1"/>
  <c r="E160" i="6"/>
  <c r="D161" i="6"/>
  <c r="E161" i="6"/>
  <c r="F161" i="6"/>
  <c r="D162" i="6"/>
  <c r="F162" i="6" s="1"/>
  <c r="E162" i="6"/>
  <c r="D163" i="6"/>
  <c r="F163" i="6"/>
  <c r="E163" i="6"/>
  <c r="D164" i="6"/>
  <c r="F164" i="6"/>
  <c r="E164" i="6"/>
  <c r="D165" i="6"/>
  <c r="F165" i="6" s="1"/>
  <c r="E165" i="6"/>
  <c r="D166" i="6"/>
  <c r="E166" i="6"/>
  <c r="F166" i="6"/>
  <c r="D167" i="6"/>
  <c r="F167" i="6"/>
  <c r="E167" i="6"/>
  <c r="D168" i="6"/>
  <c r="F168" i="6" s="1"/>
  <c r="E168" i="6"/>
  <c r="D169" i="6"/>
  <c r="E169" i="6"/>
  <c r="F169" i="6"/>
  <c r="D170" i="6"/>
  <c r="F170" i="6" s="1"/>
  <c r="E170" i="6"/>
  <c r="D171" i="6"/>
  <c r="F171" i="6"/>
  <c r="E171" i="6"/>
  <c r="D172" i="6"/>
  <c r="F172" i="6"/>
  <c r="E172" i="6"/>
  <c r="D173" i="6"/>
  <c r="F173" i="6" s="1"/>
  <c r="E173" i="6"/>
  <c r="D174" i="6"/>
  <c r="E174" i="6"/>
  <c r="F174" i="6"/>
  <c r="D175" i="6"/>
  <c r="F175" i="6"/>
  <c r="E175" i="6"/>
  <c r="D176" i="6"/>
  <c r="F176" i="6" s="1"/>
  <c r="E176" i="6"/>
  <c r="D177" i="6"/>
  <c r="E177" i="6"/>
  <c r="F177" i="6"/>
  <c r="D178" i="6"/>
  <c r="F178" i="6" s="1"/>
  <c r="E178" i="6"/>
  <c r="D179" i="6"/>
  <c r="F179" i="6"/>
  <c r="E179" i="6"/>
  <c r="D180" i="6"/>
  <c r="F180" i="6"/>
  <c r="E180" i="6"/>
  <c r="D181" i="6"/>
  <c r="F181" i="6" s="1"/>
  <c r="E181" i="6"/>
  <c r="D182" i="6"/>
  <c r="E182" i="6"/>
  <c r="F182" i="6"/>
  <c r="D183" i="6"/>
  <c r="F183" i="6"/>
  <c r="E183" i="6"/>
  <c r="D184" i="6"/>
  <c r="F184" i="6" s="1"/>
  <c r="E184" i="6"/>
  <c r="D185" i="6"/>
  <c r="E185" i="6"/>
  <c r="F185" i="6"/>
  <c r="D186" i="6"/>
  <c r="F186" i="6" s="1"/>
  <c r="E186" i="6"/>
  <c r="D187" i="6"/>
  <c r="F187" i="6"/>
  <c r="E187" i="6"/>
  <c r="D188" i="6"/>
  <c r="F188" i="6"/>
  <c r="E188" i="6"/>
  <c r="D189" i="6"/>
  <c r="F189" i="6" s="1"/>
  <c r="E189" i="6"/>
  <c r="D190" i="6"/>
  <c r="E190" i="6"/>
  <c r="F190" i="6"/>
  <c r="D191" i="6"/>
  <c r="F191" i="6"/>
  <c r="E191" i="6"/>
  <c r="D192" i="6"/>
  <c r="F192" i="6" s="1"/>
  <c r="E192" i="6"/>
  <c r="D193" i="6"/>
  <c r="E193" i="6"/>
  <c r="F193" i="6"/>
  <c r="D194" i="6"/>
  <c r="F194" i="6" s="1"/>
  <c r="E194" i="6"/>
  <c r="D195" i="6"/>
  <c r="F195" i="6"/>
  <c r="E195" i="6"/>
  <c r="D196" i="6"/>
  <c r="F196" i="6"/>
  <c r="E196" i="6"/>
  <c r="D197" i="6"/>
  <c r="F197" i="6" s="1"/>
  <c r="E197" i="6"/>
  <c r="D198" i="6"/>
  <c r="E198" i="6"/>
  <c r="F198" i="6"/>
  <c r="D199" i="6"/>
  <c r="F199" i="6"/>
  <c r="E199" i="6"/>
  <c r="D200" i="6"/>
  <c r="F200" i="6" s="1"/>
  <c r="E200" i="6"/>
  <c r="D201" i="6"/>
  <c r="E201" i="6"/>
  <c r="F201" i="6"/>
  <c r="D202" i="6"/>
  <c r="F202" i="6" s="1"/>
  <c r="E202" i="6"/>
  <c r="D203" i="6"/>
  <c r="F203" i="6"/>
  <c r="E203" i="6"/>
  <c r="D204" i="6"/>
  <c r="F204" i="6"/>
  <c r="E204" i="6"/>
  <c r="D205" i="6"/>
  <c r="F205" i="6" s="1"/>
  <c r="E205" i="6"/>
  <c r="D206" i="6"/>
  <c r="E206" i="6"/>
  <c r="F206" i="6"/>
  <c r="D207" i="6"/>
  <c r="F207" i="6"/>
  <c r="E207" i="6"/>
  <c r="D208" i="6"/>
  <c r="F208" i="6" s="1"/>
  <c r="E208" i="6"/>
  <c r="D209" i="6"/>
  <c r="E209" i="6"/>
  <c r="F209" i="6"/>
  <c r="D210" i="6"/>
  <c r="F210" i="6" s="1"/>
  <c r="E210" i="6"/>
  <c r="D211" i="6"/>
  <c r="F211" i="6"/>
  <c r="E211" i="6"/>
  <c r="D212" i="6"/>
  <c r="F212" i="6"/>
  <c r="E212" i="6"/>
  <c r="D213" i="6"/>
  <c r="F213" i="6" s="1"/>
  <c r="E213" i="6"/>
  <c r="D214" i="6"/>
  <c r="E214" i="6"/>
  <c r="F214" i="6"/>
  <c r="D215" i="6"/>
  <c r="F215" i="6"/>
  <c r="E215" i="6"/>
  <c r="D216" i="6"/>
  <c r="F216" i="6" s="1"/>
  <c r="E216" i="6"/>
  <c r="D217" i="6"/>
  <c r="E217" i="6"/>
  <c r="F217" i="6"/>
  <c r="D218" i="6"/>
  <c r="F218" i="6" s="1"/>
  <c r="E218" i="6"/>
  <c r="D219" i="6"/>
  <c r="F219" i="6"/>
  <c r="E219" i="6"/>
  <c r="D220" i="6"/>
  <c r="F220" i="6"/>
  <c r="E220" i="6"/>
  <c r="D221" i="6"/>
  <c r="F221" i="6" s="1"/>
  <c r="E221" i="6"/>
  <c r="D222" i="6"/>
  <c r="E222" i="6"/>
  <c r="F222" i="6"/>
  <c r="D223" i="6"/>
  <c r="F223" i="6"/>
  <c r="E223" i="6"/>
  <c r="D224" i="6"/>
  <c r="F224" i="6" s="1"/>
  <c r="E224" i="6"/>
  <c r="D225" i="6"/>
  <c r="E225" i="6"/>
  <c r="F225" i="6"/>
  <c r="D226" i="6"/>
  <c r="F226" i="6" s="1"/>
  <c r="E226" i="6"/>
  <c r="D227" i="6"/>
  <c r="F227" i="6"/>
  <c r="E227" i="6"/>
  <c r="D228" i="6"/>
  <c r="F228" i="6"/>
  <c r="E228" i="6"/>
  <c r="D229" i="6"/>
  <c r="F229" i="6" s="1"/>
  <c r="E229" i="6"/>
  <c r="D230" i="6"/>
  <c r="E230" i="6"/>
  <c r="F230" i="6"/>
  <c r="D231" i="6"/>
  <c r="F231" i="6"/>
  <c r="E231" i="6"/>
  <c r="D232" i="6"/>
  <c r="F232" i="6" s="1"/>
  <c r="E232" i="6"/>
  <c r="D233" i="6"/>
  <c r="E233" i="6"/>
  <c r="F233" i="6"/>
  <c r="D234" i="6"/>
  <c r="F234" i="6" s="1"/>
  <c r="E234" i="6"/>
  <c r="D235" i="6"/>
  <c r="F235" i="6"/>
  <c r="E235" i="6"/>
  <c r="D236" i="6"/>
  <c r="F236" i="6"/>
  <c r="E236" i="6"/>
  <c r="D237" i="6"/>
  <c r="F237" i="6" s="1"/>
  <c r="E237" i="6"/>
  <c r="D238" i="6"/>
  <c r="E238" i="6"/>
  <c r="F238" i="6"/>
  <c r="D239" i="6"/>
  <c r="F239" i="6"/>
  <c r="E239" i="6"/>
  <c r="D240" i="6"/>
  <c r="F240" i="6" s="1"/>
  <c r="E240" i="6"/>
  <c r="D241" i="6"/>
  <c r="E241" i="6"/>
  <c r="F241" i="6"/>
  <c r="D242" i="6"/>
  <c r="F242" i="6" s="1"/>
  <c r="E242" i="6"/>
  <c r="D243" i="6"/>
  <c r="F243" i="6"/>
  <c r="E243" i="6"/>
  <c r="D244" i="6"/>
  <c r="F244" i="6"/>
  <c r="E244" i="6"/>
  <c r="D245" i="6"/>
  <c r="F245" i="6" s="1"/>
  <c r="E245" i="6"/>
  <c r="D246" i="6"/>
  <c r="E246" i="6"/>
  <c r="F246" i="6"/>
  <c r="D247" i="6"/>
  <c r="F247" i="6"/>
  <c r="E247" i="6"/>
  <c r="D7" i="6"/>
  <c r="F7" i="6" s="1"/>
  <c r="E7" i="6"/>
  <c r="D8" i="6"/>
  <c r="E8" i="6"/>
  <c r="F8" i="6"/>
  <c r="D9" i="6"/>
  <c r="F9" i="6" s="1"/>
  <c r="E9" i="6"/>
  <c r="D10" i="6"/>
  <c r="F10" i="6"/>
  <c r="E10" i="6"/>
  <c r="D11" i="6"/>
  <c r="F11" i="6"/>
  <c r="E11" i="6"/>
  <c r="D12" i="6"/>
  <c r="F12" i="6" s="1"/>
  <c r="E12" i="6"/>
  <c r="D13" i="6"/>
  <c r="E13" i="6"/>
  <c r="F13" i="6"/>
  <c r="D14" i="6"/>
  <c r="F14" i="6"/>
  <c r="E14" i="6"/>
  <c r="D15" i="6"/>
  <c r="F15" i="6" s="1"/>
  <c r="E15" i="6"/>
  <c r="D16" i="6"/>
  <c r="E16" i="6"/>
  <c r="F16" i="6"/>
  <c r="D17" i="6"/>
  <c r="F17" i="6" s="1"/>
  <c r="E17" i="6"/>
  <c r="D18" i="6"/>
  <c r="F18" i="6"/>
  <c r="E18" i="6"/>
  <c r="D19" i="6"/>
  <c r="F19" i="6"/>
  <c r="E19" i="6"/>
  <c r="D20" i="6"/>
  <c r="F20" i="6" s="1"/>
  <c r="E20" i="6"/>
  <c r="D21" i="6"/>
  <c r="E21" i="6"/>
  <c r="F21" i="6"/>
  <c r="D22" i="6"/>
  <c r="F22" i="6"/>
  <c r="E22" i="6"/>
  <c r="D23" i="6"/>
  <c r="F23" i="6" s="1"/>
  <c r="E23" i="6"/>
  <c r="D24" i="6"/>
  <c r="E24" i="6"/>
  <c r="F24" i="6"/>
  <c r="D25" i="6"/>
  <c r="F25" i="6" s="1"/>
  <c r="E25" i="6"/>
  <c r="D26" i="6"/>
  <c r="F26" i="6"/>
  <c r="E26" i="6"/>
  <c r="D27" i="6"/>
  <c r="F27" i="6"/>
  <c r="E27" i="6"/>
  <c r="D28" i="6"/>
  <c r="F28" i="6" s="1"/>
  <c r="E28" i="6"/>
  <c r="D29" i="6"/>
  <c r="E29" i="6"/>
  <c r="F29" i="6"/>
  <c r="D30" i="6"/>
  <c r="F30" i="6"/>
  <c r="E30" i="6"/>
  <c r="D31" i="6"/>
  <c r="F31" i="6" s="1"/>
  <c r="E31" i="6"/>
  <c r="D32" i="6"/>
  <c r="E32" i="6"/>
  <c r="F32" i="6"/>
  <c r="D33" i="6"/>
  <c r="F33" i="6" s="1"/>
  <c r="E33" i="6"/>
  <c r="D34" i="6"/>
  <c r="F34" i="6"/>
  <c r="E34" i="6"/>
  <c r="D35" i="6"/>
  <c r="F35" i="6"/>
  <c r="E35" i="6"/>
  <c r="D36" i="6"/>
  <c r="F36" i="6" s="1"/>
  <c r="E36" i="6"/>
  <c r="D37" i="6"/>
  <c r="E37" i="6"/>
  <c r="F37" i="6"/>
  <c r="D38" i="6"/>
  <c r="F38" i="6"/>
  <c r="E38" i="6"/>
  <c r="D39" i="6"/>
  <c r="F39" i="6" s="1"/>
  <c r="E39" i="6"/>
  <c r="D40" i="6"/>
  <c r="E40" i="6"/>
  <c r="F40" i="6"/>
  <c r="D41" i="6"/>
  <c r="F41" i="6" s="1"/>
  <c r="E41" i="6"/>
  <c r="D42" i="6"/>
  <c r="F42" i="6"/>
  <c r="E42" i="6"/>
  <c r="D43" i="6"/>
  <c r="F43" i="6"/>
  <c r="E43" i="6"/>
  <c r="D44" i="6"/>
  <c r="F44" i="6" s="1"/>
  <c r="E44" i="6"/>
  <c r="D45" i="6"/>
  <c r="E45" i="6"/>
  <c r="F45" i="6"/>
  <c r="D46" i="6"/>
  <c r="F46" i="6"/>
  <c r="E46" i="6"/>
  <c r="D47" i="6"/>
  <c r="F47" i="6" s="1"/>
  <c r="E47" i="6"/>
  <c r="D48" i="6"/>
  <c r="E48" i="6"/>
  <c r="F48" i="6"/>
  <c r="D49" i="6"/>
  <c r="F49" i="6" s="1"/>
  <c r="E49" i="6"/>
  <c r="D50" i="6"/>
  <c r="F50" i="6"/>
  <c r="E50" i="6"/>
  <c r="D51" i="6"/>
  <c r="F51" i="6"/>
  <c r="E51" i="6"/>
  <c r="D52" i="6"/>
  <c r="F52" i="6" s="1"/>
  <c r="E52" i="6"/>
  <c r="D53" i="6"/>
  <c r="E53" i="6"/>
  <c r="F53" i="6"/>
  <c r="D54" i="6"/>
  <c r="F54" i="6"/>
  <c r="E54" i="6"/>
  <c r="D55" i="6"/>
  <c r="F55" i="6" s="1"/>
  <c r="E55" i="6"/>
  <c r="D56" i="6"/>
  <c r="E56" i="6"/>
  <c r="F56" i="6"/>
  <c r="D57" i="6"/>
  <c r="F57" i="6" s="1"/>
  <c r="E57" i="6"/>
  <c r="D58" i="6"/>
  <c r="F58" i="6"/>
  <c r="E58" i="6"/>
  <c r="D59" i="6"/>
  <c r="F59" i="6"/>
  <c r="E59" i="6"/>
  <c r="D60" i="6"/>
  <c r="F60" i="6" s="1"/>
  <c r="E60" i="6"/>
  <c r="D61" i="6"/>
  <c r="E61" i="6"/>
  <c r="F61" i="6"/>
  <c r="D62" i="6"/>
  <c r="F62" i="6"/>
  <c r="E62" i="6"/>
  <c r="D63" i="6"/>
  <c r="F63" i="6" s="1"/>
  <c r="E63" i="6"/>
  <c r="D64" i="6"/>
  <c r="E64" i="6"/>
  <c r="F64" i="6"/>
  <c r="D65" i="6"/>
  <c r="F65" i="6" s="1"/>
  <c r="E65" i="6"/>
  <c r="D8" i="4"/>
  <c r="F8" i="4"/>
  <c r="E8" i="4"/>
  <c r="D9" i="4"/>
  <c r="F9" i="4"/>
  <c r="E9" i="4"/>
  <c r="D10" i="4"/>
  <c r="F10" i="4" s="1"/>
  <c r="E10" i="4"/>
  <c r="D11" i="4"/>
  <c r="E11" i="4"/>
  <c r="F11" i="4"/>
  <c r="D12" i="4"/>
  <c r="F12" i="4"/>
  <c r="E12" i="4"/>
  <c r="D13" i="4"/>
  <c r="F13" i="4" s="1"/>
  <c r="E13" i="4"/>
  <c r="D14" i="4"/>
  <c r="E14" i="4"/>
  <c r="F14" i="4"/>
  <c r="D15" i="4"/>
  <c r="F15" i="4" s="1"/>
  <c r="E15" i="4"/>
  <c r="D16" i="4"/>
  <c r="F16" i="4"/>
  <c r="E16" i="4"/>
  <c r="D17" i="4"/>
  <c r="F17" i="4"/>
  <c r="E17" i="4"/>
  <c r="D18" i="4"/>
  <c r="F18" i="4" s="1"/>
  <c r="E18" i="4"/>
  <c r="D19" i="4"/>
  <c r="E19" i="4"/>
  <c r="F19" i="4"/>
  <c r="D20" i="4"/>
  <c r="F20" i="4"/>
  <c r="E20" i="4"/>
  <c r="D21" i="4"/>
  <c r="F21" i="4" s="1"/>
  <c r="E21" i="4"/>
  <c r="D22" i="4"/>
  <c r="E22" i="4"/>
  <c r="F22" i="4"/>
  <c r="D23" i="4"/>
  <c r="F23" i="4" s="1"/>
  <c r="E23" i="4"/>
  <c r="D24" i="4"/>
  <c r="F24" i="4"/>
  <c r="E24" i="4"/>
  <c r="D25" i="4"/>
  <c r="F25" i="4"/>
  <c r="E25" i="4"/>
  <c r="D26" i="4"/>
  <c r="F26" i="4" s="1"/>
  <c r="E26" i="4"/>
  <c r="D27" i="4"/>
  <c r="E27" i="4"/>
  <c r="F27" i="4"/>
  <c r="D28" i="4"/>
  <c r="F28" i="4"/>
  <c r="E28" i="4"/>
  <c r="D29" i="4"/>
  <c r="F29" i="4" s="1"/>
  <c r="E29" i="4"/>
  <c r="D30" i="4"/>
  <c r="E30" i="4"/>
  <c r="F30" i="4"/>
  <c r="D31" i="4"/>
  <c r="F31" i="4" s="1"/>
  <c r="E31" i="4"/>
  <c r="D32" i="4"/>
  <c r="F32" i="4"/>
  <c r="E32" i="4"/>
  <c r="D33" i="4"/>
  <c r="F33" i="4"/>
  <c r="E33" i="4"/>
  <c r="D34" i="4"/>
  <c r="F34" i="4" s="1"/>
  <c r="E34" i="4"/>
  <c r="D35" i="4"/>
  <c r="E35" i="4"/>
  <c r="F35" i="4"/>
  <c r="D36" i="4"/>
  <c r="F36" i="4"/>
  <c r="E36" i="4"/>
  <c r="D37" i="4"/>
  <c r="F37" i="4" s="1"/>
  <c r="E37" i="4"/>
  <c r="D38" i="4"/>
  <c r="E38" i="4"/>
  <c r="F38" i="4"/>
  <c r="D39" i="4"/>
  <c r="F39" i="4" s="1"/>
  <c r="E39" i="4"/>
  <c r="D40" i="4"/>
  <c r="F40" i="4"/>
  <c r="E40" i="4"/>
  <c r="D41" i="4"/>
  <c r="F41" i="4"/>
  <c r="E41" i="4"/>
  <c r="D42" i="4"/>
  <c r="F42" i="4" s="1"/>
  <c r="E42" i="4"/>
  <c r="D43" i="4"/>
  <c r="E43" i="4"/>
  <c r="F43" i="4"/>
  <c r="D44" i="4"/>
  <c r="F44" i="4"/>
  <c r="E44" i="4"/>
  <c r="D45" i="4"/>
  <c r="F45" i="4" s="1"/>
  <c r="E45" i="4"/>
  <c r="D46" i="4"/>
  <c r="E46" i="4"/>
  <c r="F46" i="4"/>
  <c r="D47" i="4"/>
  <c r="F47" i="4" s="1"/>
  <c r="E47" i="4"/>
  <c r="D48" i="4"/>
  <c r="F48" i="4"/>
  <c r="E48" i="4"/>
  <c r="D49" i="4"/>
  <c r="F49" i="4"/>
  <c r="E49" i="4"/>
  <c r="D50" i="4"/>
  <c r="F50" i="4" s="1"/>
  <c r="E50" i="4"/>
  <c r="D51" i="4"/>
  <c r="E51" i="4"/>
  <c r="F51" i="4"/>
  <c r="D52" i="4"/>
  <c r="F52" i="4"/>
  <c r="E52" i="4"/>
  <c r="D53" i="4"/>
  <c r="F53" i="4" s="1"/>
  <c r="E53" i="4"/>
  <c r="D54" i="4"/>
  <c r="E54" i="4"/>
  <c r="F54" i="4"/>
  <c r="D55" i="4"/>
  <c r="F55" i="4" s="1"/>
  <c r="E55" i="4"/>
  <c r="D56" i="4"/>
  <c r="F56" i="4"/>
  <c r="E56" i="4"/>
  <c r="D57" i="4"/>
  <c r="F57" i="4"/>
  <c r="E57" i="4"/>
  <c r="D58" i="4"/>
  <c r="F58" i="4" s="1"/>
  <c r="E58" i="4"/>
  <c r="D59" i="4"/>
  <c r="E59" i="4"/>
  <c r="F59" i="4"/>
  <c r="D60" i="4"/>
  <c r="F60" i="4"/>
  <c r="E60" i="4"/>
  <c r="D61" i="4"/>
  <c r="F61" i="4" s="1"/>
  <c r="E61" i="4"/>
  <c r="D62" i="4"/>
  <c r="E62" i="4"/>
  <c r="F62" i="4"/>
  <c r="D63" i="4"/>
  <c r="F63" i="4" s="1"/>
  <c r="E63" i="4"/>
  <c r="D64" i="4"/>
  <c r="F64" i="4"/>
  <c r="E64" i="4"/>
  <c r="D65" i="4"/>
  <c r="F65" i="4"/>
  <c r="E65" i="4"/>
  <c r="D66" i="4"/>
  <c r="F66" i="4" s="1"/>
  <c r="E66" i="4"/>
</calcChain>
</file>

<file path=xl/sharedStrings.xml><?xml version="1.0" encoding="utf-8"?>
<sst xmlns="http://schemas.openxmlformats.org/spreadsheetml/2006/main" count="59" uniqueCount="50">
  <si>
    <t>(The resolution changes throughout the table in order to make it easier to find the result you want)</t>
  </si>
  <si>
    <t>This abbreviated Z-Table contains a limited range of "Z" values for quicker reference.</t>
  </si>
  <si>
    <t>If the specification is "Z" standard deviations away:</t>
  </si>
  <si>
    <t>The probability of a defective part is:</t>
  </si>
  <si>
    <t>The % Defective will be:</t>
  </si>
  <si>
    <t>The equivalent DPMO rate will be:</t>
  </si>
  <si>
    <t>Abbreviated Z-Table</t>
  </si>
  <si>
    <t>Full Z-Table</t>
  </si>
  <si>
    <t>This Sigma Level calculator has three options depending on the data you have.</t>
  </si>
  <si>
    <t>1:  If you have data that only represents the short term performance of the process:</t>
  </si>
  <si>
    <t xml:space="preserve">2:  If you have data that represents the long term performance of the process, </t>
  </si>
  <si>
    <t>and the short term cannot be seperated out (with a capabilty analysis or similar):</t>
  </si>
  <si>
    <t>3:  If you have data from both the short and long term performance of the process:</t>
  </si>
  <si>
    <t>Enter the proportion of failures here:</t>
  </si>
  <si>
    <t>The Short Term Sigma Level (Zst) is:</t>
  </si>
  <si>
    <t>Without further data, only an estimate of the Long Term Sigma Level (Zlt) can be made,</t>
  </si>
  <si>
    <t>by subtracting 1.5 Sigma (a typical Sigma Shift).</t>
  </si>
  <si>
    <t>So, your Long Term Sigma Level could be around:</t>
  </si>
  <si>
    <t>+ 1.5 =</t>
  </si>
  <si>
    <t xml:space="preserve">  (NB: 20% should be entered as 0.2 etc.)</t>
  </si>
  <si>
    <t>The Long Term Sigma level (Zlt) is:</t>
  </si>
  <si>
    <t>Without further information that will enable the short term performance within your data to be identified,</t>
  </si>
  <si>
    <t>Enter the proportion of failures in the short term here:</t>
  </si>
  <si>
    <t>Enter the proportion of failures in the long term here:</t>
  </si>
  <si>
    <t>The Short Term Sigma level (Zst) is:</t>
  </si>
  <si>
    <t>The Sigma Shift of the process is:</t>
  </si>
  <si>
    <t>A high Sigma Shift indicates that there is a</t>
  </si>
  <si>
    <t>opportunity to improve the performance of the</t>
  </si>
  <si>
    <t>existing process through improved control.</t>
  </si>
  <si>
    <t>A low Sigma Shift indicates that the process</t>
  </si>
  <si>
    <t>is already being controlled to the best of its</t>
  </si>
  <si>
    <t>potential and that any further improvements</t>
  </si>
  <si>
    <t>are only likely to be possible through process</t>
  </si>
  <si>
    <t>or product redesign.</t>
  </si>
  <si>
    <t>- 1.5 =</t>
  </si>
  <si>
    <t>an estimate of the Short Term Sigma Level can be made by adding 1.5 Sigma (a typical Sigma Shift)</t>
  </si>
  <si>
    <t>So, your Short Term Sigma Level could be around:</t>
  </si>
  <si>
    <t>Sigma Level Calculator</t>
  </si>
  <si>
    <t>Z-Table Calculator</t>
  </si>
  <si>
    <t>Enter the Z value here:</t>
  </si>
  <si>
    <t>The % of failures will be approx</t>
  </si>
  <si>
    <t>These predictions are based on the process</t>
  </si>
  <si>
    <t>following the Normal distribution as shown above.</t>
  </si>
  <si>
    <t>Calculating the value of Z from the statistics of the distribution:</t>
  </si>
  <si>
    <t>Enter the average of the distribution:</t>
  </si>
  <si>
    <t>NB:  Use the same units for average, sigma, and the USL</t>
  </si>
  <si>
    <t>The value of Z (number of sigma) is:</t>
  </si>
  <si>
    <t>Calculating failure Rates for a specific value of Z:</t>
  </si>
  <si>
    <t>Enter the standard deviation (sigma):</t>
  </si>
  <si>
    <t>Enter the Upper Specification limit (USL):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</si>
</sst>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10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20"/>
      <name val="Arial"/>
      <family val="2"/>
    </font>
    <font>
      <sz val="24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2"/>
      <name val="Arial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2" fillId="3" borderId="0" xfId="0" applyFont="1" applyFill="1" applyAlignment="1">
      <alignment horizontal="center" wrapText="1"/>
    </xf>
    <xf numFmtId="0" fontId="0" fillId="3" borderId="0" xfId="0" applyFill="1"/>
    <xf numFmtId="0" fontId="2" fillId="3" borderId="0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10" fontId="0" fillId="3" borderId="0" xfId="0" applyNumberFormat="1" applyFill="1" applyBorder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left" vertical="center"/>
    </xf>
    <xf numFmtId="0" fontId="2" fillId="3" borderId="0" xfId="0" applyFont="1" applyFill="1"/>
    <xf numFmtId="0" fontId="9" fillId="3" borderId="0" xfId="0" applyFont="1" applyFill="1"/>
    <xf numFmtId="0" fontId="0" fillId="3" borderId="1" xfId="0" applyFill="1" applyBorder="1"/>
    <xf numFmtId="0" fontId="0" fillId="3" borderId="2" xfId="0" applyFill="1" applyBorder="1"/>
    <xf numFmtId="0" fontId="9" fillId="3" borderId="1" xfId="0" applyFont="1" applyFill="1" applyBorder="1"/>
    <xf numFmtId="0" fontId="2" fillId="3" borderId="0" xfId="0" applyFont="1" applyFill="1" applyBorder="1"/>
    <xf numFmtId="0" fontId="2" fillId="3" borderId="2" xfId="0" applyFont="1" applyFill="1" applyBorder="1"/>
    <xf numFmtId="0" fontId="2" fillId="3" borderId="0" xfId="0" quotePrefix="1" applyFont="1" applyFill="1" applyBorder="1" applyAlignment="1">
      <alignment horizontal="center"/>
    </xf>
    <xf numFmtId="0" fontId="9" fillId="3" borderId="0" xfId="0" applyFont="1" applyFill="1" applyBorder="1"/>
    <xf numFmtId="0" fontId="9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0" xfId="0" applyFill="1" applyBorder="1"/>
    <xf numFmtId="0" fontId="8" fillId="3" borderId="0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/>
    <xf numFmtId="0" fontId="0" fillId="2" borderId="2" xfId="0" applyFill="1" applyBorder="1"/>
    <xf numFmtId="0" fontId="2" fillId="3" borderId="1" xfId="0" applyFont="1" applyFill="1" applyBorder="1"/>
    <xf numFmtId="0" fontId="0" fillId="4" borderId="9" xfId="0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 wrapText="1"/>
    </xf>
    <xf numFmtId="2" fontId="0" fillId="4" borderId="10" xfId="0" applyNumberFormat="1" applyFill="1" applyBorder="1" applyAlignment="1">
      <alignment horizontal="center"/>
    </xf>
    <xf numFmtId="9" fontId="0" fillId="4" borderId="11" xfId="0" applyNumberFormat="1" applyFill="1" applyBorder="1" applyAlignment="1">
      <alignment horizontal="center"/>
    </xf>
    <xf numFmtId="166" fontId="0" fillId="4" borderId="11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9" fontId="0" fillId="4" borderId="14" xfId="0" applyNumberFormat="1" applyFill="1" applyBorder="1" applyAlignment="1">
      <alignment horizontal="center"/>
    </xf>
    <xf numFmtId="166" fontId="0" fillId="4" borderId="14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165" fontId="0" fillId="4" borderId="14" xfId="0" applyNumberFormat="1" applyFill="1" applyBorder="1" applyAlignment="1">
      <alignment horizontal="center"/>
    </xf>
    <xf numFmtId="10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2" fontId="3" fillId="4" borderId="13" xfId="0" applyNumberFormat="1" applyFont="1" applyFill="1" applyBorder="1" applyAlignment="1">
      <alignment horizontal="center"/>
    </xf>
    <xf numFmtId="10" fontId="3" fillId="4" borderId="14" xfId="0" applyNumberFormat="1" applyFont="1" applyFill="1" applyBorder="1" applyAlignment="1">
      <alignment horizontal="center"/>
    </xf>
    <xf numFmtId="166" fontId="3" fillId="4" borderId="14" xfId="0" applyNumberFormat="1" applyFont="1" applyFill="1" applyBorder="1" applyAlignment="1">
      <alignment horizontal="center"/>
    </xf>
    <xf numFmtId="164" fontId="3" fillId="4" borderId="15" xfId="0" applyNumberFormat="1" applyFont="1" applyFill="1" applyBorder="1" applyAlignment="1">
      <alignment horizontal="center"/>
    </xf>
    <xf numFmtId="2" fontId="0" fillId="4" borderId="16" xfId="0" applyNumberFormat="1" applyFill="1" applyBorder="1" applyAlignment="1">
      <alignment horizontal="center"/>
    </xf>
    <xf numFmtId="10" fontId="0" fillId="4" borderId="17" xfId="0" applyNumberFormat="1" applyFill="1" applyBorder="1" applyAlignment="1">
      <alignment horizontal="center"/>
    </xf>
    <xf numFmtId="166" fontId="0" fillId="4" borderId="17" xfId="0" applyNumberFormat="1" applyFill="1" applyBorder="1" applyAlignment="1">
      <alignment horizontal="center"/>
    </xf>
    <xf numFmtId="164" fontId="0" fillId="4" borderId="18" xfId="0" applyNumberFormat="1" applyFill="1" applyBorder="1" applyAlignment="1">
      <alignment horizontal="center"/>
    </xf>
    <xf numFmtId="0" fontId="2" fillId="4" borderId="19" xfId="0" applyFont="1" applyFill="1" applyBorder="1" applyAlignment="1">
      <alignment horizontal="center" vertical="center" wrapText="1"/>
    </xf>
    <xf numFmtId="2" fontId="6" fillId="4" borderId="10" xfId="0" applyNumberFormat="1" applyFont="1" applyFill="1" applyBorder="1" applyAlignment="1">
      <alignment horizontal="center"/>
    </xf>
    <xf numFmtId="10" fontId="6" fillId="4" borderId="11" xfId="0" applyNumberFormat="1" applyFont="1" applyFill="1" applyBorder="1" applyAlignment="1">
      <alignment horizontal="center"/>
    </xf>
    <xf numFmtId="166" fontId="6" fillId="4" borderId="11" xfId="0" applyNumberFormat="1" applyFont="1" applyFill="1" applyBorder="1" applyAlignment="1">
      <alignment horizontal="center"/>
    </xf>
    <xf numFmtId="1" fontId="6" fillId="4" borderId="12" xfId="0" applyNumberFormat="1" applyFont="1" applyFill="1" applyBorder="1" applyAlignment="1">
      <alignment horizontal="center"/>
    </xf>
    <xf numFmtId="2" fontId="6" fillId="4" borderId="13" xfId="0" applyNumberFormat="1" applyFont="1" applyFill="1" applyBorder="1" applyAlignment="1">
      <alignment horizontal="center"/>
    </xf>
    <xf numFmtId="10" fontId="6" fillId="4" borderId="14" xfId="0" applyNumberFormat="1" applyFont="1" applyFill="1" applyBorder="1" applyAlignment="1">
      <alignment horizontal="center"/>
    </xf>
    <xf numFmtId="166" fontId="6" fillId="4" borderId="14" xfId="0" applyNumberFormat="1" applyFont="1" applyFill="1" applyBorder="1" applyAlignment="1">
      <alignment horizontal="center"/>
    </xf>
    <xf numFmtId="1" fontId="6" fillId="4" borderId="15" xfId="0" applyNumberFormat="1" applyFont="1" applyFill="1" applyBorder="1" applyAlignment="1">
      <alignment horizontal="center"/>
    </xf>
    <xf numFmtId="164" fontId="6" fillId="4" borderId="15" xfId="0" applyNumberFormat="1" applyFont="1" applyFill="1" applyBorder="1" applyAlignment="1">
      <alignment horizontal="center"/>
    </xf>
    <xf numFmtId="2" fontId="6" fillId="4" borderId="16" xfId="0" applyNumberFormat="1" applyFont="1" applyFill="1" applyBorder="1" applyAlignment="1">
      <alignment horizontal="center"/>
    </xf>
    <xf numFmtId="10" fontId="6" fillId="4" borderId="17" xfId="0" applyNumberFormat="1" applyFont="1" applyFill="1" applyBorder="1" applyAlignment="1">
      <alignment horizontal="center"/>
    </xf>
    <xf numFmtId="166" fontId="6" fillId="4" borderId="17" xfId="0" applyNumberFormat="1" applyFont="1" applyFill="1" applyBorder="1" applyAlignment="1">
      <alignment horizontal="center"/>
    </xf>
    <xf numFmtId="164" fontId="6" fillId="4" borderId="18" xfId="0" applyNumberFormat="1" applyFont="1" applyFill="1" applyBorder="1" applyAlignment="1">
      <alignment horizontal="center"/>
    </xf>
    <xf numFmtId="166" fontId="0" fillId="4" borderId="9" xfId="0" applyNumberForma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64" fontId="0" fillId="3" borderId="0" xfId="0" applyNumberFormat="1" applyFill="1" applyBorder="1" applyAlignment="1">
      <alignment horizontal="center"/>
    </xf>
    <xf numFmtId="10" fontId="2" fillId="3" borderId="9" xfId="0" applyNumberFormat="1" applyFont="1" applyFill="1" applyBorder="1" applyAlignment="1">
      <alignment horizontal="center"/>
    </xf>
    <xf numFmtId="166" fontId="2" fillId="3" borderId="9" xfId="0" applyNumberFormat="1" applyFont="1" applyFill="1" applyBorder="1" applyAlignment="1">
      <alignment horizontal="center"/>
    </xf>
    <xf numFmtId="3" fontId="2" fillId="3" borderId="9" xfId="0" applyNumberFormat="1" applyFont="1" applyFill="1" applyBorder="1" applyAlignment="1">
      <alignment horizontal="center"/>
    </xf>
    <xf numFmtId="166" fontId="0" fillId="0" borderId="9" xfId="0" applyNumberForma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right"/>
    </xf>
    <xf numFmtId="0" fontId="2" fillId="3" borderId="0" xfId="0" quotePrefix="1" applyFont="1" applyFill="1" applyBorder="1" applyAlignment="1">
      <alignment horizontal="left"/>
    </xf>
    <xf numFmtId="0" fontId="6" fillId="3" borderId="0" xfId="0" applyFont="1" applyFill="1" applyBorder="1"/>
    <xf numFmtId="164" fontId="2" fillId="3" borderId="9" xfId="0" applyNumberFormat="1" applyFont="1" applyFill="1" applyBorder="1" applyAlignment="1">
      <alignment horizontal="left"/>
    </xf>
    <xf numFmtId="164" fontId="2" fillId="3" borderId="9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7</xdr:col>
          <xdr:colOff>600075</xdr:colOff>
          <xdr:row>2</xdr:row>
          <xdr:rowOff>0</xdr:rowOff>
        </xdr:to>
        <xdr:sp macro="" textlink="">
          <xdr:nvSpPr>
            <xdr:cNvPr id="4107" name="Object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4FA7C132-AE44-402D-624A-24DFEA682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</xdr:row>
      <xdr:rowOff>295275</xdr:rowOff>
    </xdr:from>
    <xdr:to>
      <xdr:col>13</xdr:col>
      <xdr:colOff>190500</xdr:colOff>
      <xdr:row>3</xdr:row>
      <xdr:rowOff>0</xdr:rowOff>
    </xdr:to>
    <xdr:grpSp>
      <xdr:nvGrpSpPr>
        <xdr:cNvPr id="7188" name="Group 7">
          <a:extLst>
            <a:ext uri="{FF2B5EF4-FFF2-40B4-BE49-F238E27FC236}">
              <a16:creationId xmlns:a16="http://schemas.microsoft.com/office/drawing/2014/main" id="{96792219-A537-2E00-08E8-3AF01EE1A6DE}"/>
            </a:ext>
          </a:extLst>
        </xdr:cNvPr>
        <xdr:cNvGrpSpPr>
          <a:grpSpLocks/>
        </xdr:cNvGrpSpPr>
      </xdr:nvGrpSpPr>
      <xdr:grpSpPr bwMode="auto">
        <a:xfrm>
          <a:off x="4556872" y="306481"/>
          <a:ext cx="3130363" cy="702048"/>
          <a:chOff x="458" y="11"/>
          <a:chExt cx="331" cy="114"/>
        </a:xfrm>
      </xdr:grpSpPr>
      <xdr:grpSp>
        <xdr:nvGrpSpPr>
          <xdr:cNvPr id="7190" name="Group 8">
            <a:extLst>
              <a:ext uri="{FF2B5EF4-FFF2-40B4-BE49-F238E27FC236}">
                <a16:creationId xmlns:a16="http://schemas.microsoft.com/office/drawing/2014/main" id="{E62A0CEE-C56A-BE41-E9BF-9BB428059C2A}"/>
              </a:ext>
            </a:extLst>
          </xdr:cNvPr>
          <xdr:cNvGrpSpPr>
            <a:grpSpLocks/>
          </xdr:cNvGrpSpPr>
        </xdr:nvGrpSpPr>
        <xdr:grpSpPr bwMode="auto">
          <a:xfrm>
            <a:off x="458" y="32"/>
            <a:ext cx="331" cy="93"/>
            <a:chOff x="398" y="2478"/>
            <a:chExt cx="1407" cy="747"/>
          </a:xfrm>
        </xdr:grpSpPr>
        <xdr:sp macro="" textlink="">
          <xdr:nvSpPr>
            <xdr:cNvPr id="7192" name="Line 9">
              <a:extLst>
                <a:ext uri="{FF2B5EF4-FFF2-40B4-BE49-F238E27FC236}">
                  <a16:creationId xmlns:a16="http://schemas.microsoft.com/office/drawing/2014/main" id="{865C73F6-5ECC-8138-C6E7-F8FAC4225EF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9" y="2523"/>
              <a:ext cx="351" cy="0"/>
            </a:xfrm>
            <a:prstGeom prst="line">
              <a:avLst/>
            </a:prstGeom>
            <a:noFill/>
            <a:ln w="9525">
              <a:solidFill>
                <a:srgbClr val="0C2577"/>
              </a:solidFill>
              <a:round/>
              <a:headEnd type="stealth" w="lg" len="lg"/>
              <a:tailEnd type="stealth" w="lg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93" name="Line 10">
              <a:extLst>
                <a:ext uri="{FF2B5EF4-FFF2-40B4-BE49-F238E27FC236}">
                  <a16:creationId xmlns:a16="http://schemas.microsoft.com/office/drawing/2014/main" id="{4CCD87FF-AECD-E66F-26B1-CA12557DB1A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8" y="3225"/>
              <a:ext cx="1407" cy="0"/>
            </a:xfrm>
            <a:prstGeom prst="line">
              <a:avLst/>
            </a:prstGeom>
            <a:noFill/>
            <a:ln w="9525">
              <a:solidFill>
                <a:srgbClr val="0C257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94" name="Freeform 11">
              <a:extLst>
                <a:ext uri="{FF2B5EF4-FFF2-40B4-BE49-F238E27FC236}">
                  <a16:creationId xmlns:a16="http://schemas.microsoft.com/office/drawing/2014/main" id="{B7F58610-6746-7B6D-ED1F-4A4CFCCAD851}"/>
                </a:ext>
              </a:extLst>
            </xdr:cNvPr>
            <xdr:cNvSpPr>
              <a:spLocks/>
            </xdr:cNvSpPr>
          </xdr:nvSpPr>
          <xdr:spPr bwMode="auto">
            <a:xfrm>
              <a:off x="479" y="2646"/>
              <a:ext cx="1244" cy="570"/>
            </a:xfrm>
            <a:custGeom>
              <a:avLst/>
              <a:gdLst>
                <a:gd name="T0" fmla="*/ 24 w 1614"/>
                <a:gd name="T1" fmla="*/ 714 h 720"/>
                <a:gd name="T2" fmla="*/ 54 w 1614"/>
                <a:gd name="T3" fmla="*/ 702 h 720"/>
                <a:gd name="T4" fmla="*/ 84 w 1614"/>
                <a:gd name="T5" fmla="*/ 684 h 720"/>
                <a:gd name="T6" fmla="*/ 120 w 1614"/>
                <a:gd name="T7" fmla="*/ 666 h 720"/>
                <a:gd name="T8" fmla="*/ 150 w 1614"/>
                <a:gd name="T9" fmla="*/ 642 h 720"/>
                <a:gd name="T10" fmla="*/ 186 w 1614"/>
                <a:gd name="T11" fmla="*/ 618 h 720"/>
                <a:gd name="T12" fmla="*/ 216 w 1614"/>
                <a:gd name="T13" fmla="*/ 588 h 720"/>
                <a:gd name="T14" fmla="*/ 246 w 1614"/>
                <a:gd name="T15" fmla="*/ 558 h 720"/>
                <a:gd name="T16" fmla="*/ 282 w 1614"/>
                <a:gd name="T17" fmla="*/ 528 h 720"/>
                <a:gd name="T18" fmla="*/ 312 w 1614"/>
                <a:gd name="T19" fmla="*/ 492 h 720"/>
                <a:gd name="T20" fmla="*/ 348 w 1614"/>
                <a:gd name="T21" fmla="*/ 450 h 720"/>
                <a:gd name="T22" fmla="*/ 378 w 1614"/>
                <a:gd name="T23" fmla="*/ 414 h 720"/>
                <a:gd name="T24" fmla="*/ 408 w 1614"/>
                <a:gd name="T25" fmla="*/ 372 h 720"/>
                <a:gd name="T26" fmla="*/ 444 w 1614"/>
                <a:gd name="T27" fmla="*/ 324 h 720"/>
                <a:gd name="T28" fmla="*/ 474 w 1614"/>
                <a:gd name="T29" fmla="*/ 282 h 720"/>
                <a:gd name="T30" fmla="*/ 510 w 1614"/>
                <a:gd name="T31" fmla="*/ 240 h 720"/>
                <a:gd name="T32" fmla="*/ 540 w 1614"/>
                <a:gd name="T33" fmla="*/ 198 h 720"/>
                <a:gd name="T34" fmla="*/ 570 w 1614"/>
                <a:gd name="T35" fmla="*/ 156 h 720"/>
                <a:gd name="T36" fmla="*/ 606 w 1614"/>
                <a:gd name="T37" fmla="*/ 120 h 720"/>
                <a:gd name="T38" fmla="*/ 636 w 1614"/>
                <a:gd name="T39" fmla="*/ 84 h 720"/>
                <a:gd name="T40" fmla="*/ 672 w 1614"/>
                <a:gd name="T41" fmla="*/ 60 h 720"/>
                <a:gd name="T42" fmla="*/ 702 w 1614"/>
                <a:gd name="T43" fmla="*/ 36 h 720"/>
                <a:gd name="T44" fmla="*/ 732 w 1614"/>
                <a:gd name="T45" fmla="*/ 18 h 720"/>
                <a:gd name="T46" fmla="*/ 768 w 1614"/>
                <a:gd name="T47" fmla="*/ 6 h 720"/>
                <a:gd name="T48" fmla="*/ 798 w 1614"/>
                <a:gd name="T49" fmla="*/ 0 h 720"/>
                <a:gd name="T50" fmla="*/ 828 w 1614"/>
                <a:gd name="T51" fmla="*/ 0 h 720"/>
                <a:gd name="T52" fmla="*/ 864 w 1614"/>
                <a:gd name="T53" fmla="*/ 12 h 720"/>
                <a:gd name="T54" fmla="*/ 894 w 1614"/>
                <a:gd name="T55" fmla="*/ 24 h 720"/>
                <a:gd name="T56" fmla="*/ 930 w 1614"/>
                <a:gd name="T57" fmla="*/ 48 h 720"/>
                <a:gd name="T58" fmla="*/ 960 w 1614"/>
                <a:gd name="T59" fmla="*/ 72 h 720"/>
                <a:gd name="T60" fmla="*/ 990 w 1614"/>
                <a:gd name="T61" fmla="*/ 102 h 720"/>
                <a:gd name="T62" fmla="*/ 1026 w 1614"/>
                <a:gd name="T63" fmla="*/ 138 h 720"/>
                <a:gd name="T64" fmla="*/ 1056 w 1614"/>
                <a:gd name="T65" fmla="*/ 174 h 720"/>
                <a:gd name="T66" fmla="*/ 1092 w 1614"/>
                <a:gd name="T67" fmla="*/ 216 h 720"/>
                <a:gd name="T68" fmla="*/ 1122 w 1614"/>
                <a:gd name="T69" fmla="*/ 258 h 720"/>
                <a:gd name="T70" fmla="*/ 1152 w 1614"/>
                <a:gd name="T71" fmla="*/ 306 h 720"/>
                <a:gd name="T72" fmla="*/ 1188 w 1614"/>
                <a:gd name="T73" fmla="*/ 348 h 720"/>
                <a:gd name="T74" fmla="*/ 1218 w 1614"/>
                <a:gd name="T75" fmla="*/ 390 h 720"/>
                <a:gd name="T76" fmla="*/ 1254 w 1614"/>
                <a:gd name="T77" fmla="*/ 432 h 720"/>
                <a:gd name="T78" fmla="*/ 1284 w 1614"/>
                <a:gd name="T79" fmla="*/ 474 h 720"/>
                <a:gd name="T80" fmla="*/ 1314 w 1614"/>
                <a:gd name="T81" fmla="*/ 510 h 720"/>
                <a:gd name="T82" fmla="*/ 1350 w 1614"/>
                <a:gd name="T83" fmla="*/ 546 h 720"/>
                <a:gd name="T84" fmla="*/ 1380 w 1614"/>
                <a:gd name="T85" fmla="*/ 576 h 720"/>
                <a:gd name="T86" fmla="*/ 1416 w 1614"/>
                <a:gd name="T87" fmla="*/ 606 h 720"/>
                <a:gd name="T88" fmla="*/ 1446 w 1614"/>
                <a:gd name="T89" fmla="*/ 630 h 720"/>
                <a:gd name="T90" fmla="*/ 1476 w 1614"/>
                <a:gd name="T91" fmla="*/ 654 h 720"/>
                <a:gd name="T92" fmla="*/ 1512 w 1614"/>
                <a:gd name="T93" fmla="*/ 672 h 720"/>
                <a:gd name="T94" fmla="*/ 1542 w 1614"/>
                <a:gd name="T95" fmla="*/ 690 h 720"/>
                <a:gd name="T96" fmla="*/ 1572 w 1614"/>
                <a:gd name="T97" fmla="*/ 708 h 720"/>
                <a:gd name="T98" fmla="*/ 1608 w 1614"/>
                <a:gd name="T99" fmla="*/ 720 h 720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w 1614"/>
                <a:gd name="T151" fmla="*/ 0 h 720"/>
                <a:gd name="T152" fmla="*/ 1614 w 1614"/>
                <a:gd name="T153" fmla="*/ 720 h 720"/>
              </a:gdLst>
              <a:ahLst/>
              <a:cxnLst>
                <a:cxn ang="T100">
                  <a:pos x="T0" y="T1"/>
                </a:cxn>
                <a:cxn ang="T101">
                  <a:pos x="T2" y="T3"/>
                </a:cxn>
                <a:cxn ang="T102">
                  <a:pos x="T4" y="T5"/>
                </a:cxn>
                <a:cxn ang="T103">
                  <a:pos x="T6" y="T7"/>
                </a:cxn>
                <a:cxn ang="T104">
                  <a:pos x="T8" y="T9"/>
                </a:cxn>
                <a:cxn ang="T105">
                  <a:pos x="T10" y="T11"/>
                </a:cxn>
                <a:cxn ang="T106">
                  <a:pos x="T12" y="T13"/>
                </a:cxn>
                <a:cxn ang="T107">
                  <a:pos x="T14" y="T15"/>
                </a:cxn>
                <a:cxn ang="T108">
                  <a:pos x="T16" y="T17"/>
                </a:cxn>
                <a:cxn ang="T109">
                  <a:pos x="T18" y="T19"/>
                </a:cxn>
                <a:cxn ang="T110">
                  <a:pos x="T20" y="T21"/>
                </a:cxn>
                <a:cxn ang="T111">
                  <a:pos x="T22" y="T23"/>
                </a:cxn>
                <a:cxn ang="T112">
                  <a:pos x="T24" y="T25"/>
                </a:cxn>
                <a:cxn ang="T113">
                  <a:pos x="T26" y="T27"/>
                </a:cxn>
                <a:cxn ang="T114">
                  <a:pos x="T28" y="T29"/>
                </a:cxn>
                <a:cxn ang="T115">
                  <a:pos x="T30" y="T31"/>
                </a:cxn>
                <a:cxn ang="T116">
                  <a:pos x="T32" y="T33"/>
                </a:cxn>
                <a:cxn ang="T117">
                  <a:pos x="T34" y="T35"/>
                </a:cxn>
                <a:cxn ang="T118">
                  <a:pos x="T36" y="T37"/>
                </a:cxn>
                <a:cxn ang="T119">
                  <a:pos x="T38" y="T39"/>
                </a:cxn>
                <a:cxn ang="T120">
                  <a:pos x="T40" y="T41"/>
                </a:cxn>
                <a:cxn ang="T121">
                  <a:pos x="T42" y="T43"/>
                </a:cxn>
                <a:cxn ang="T122">
                  <a:pos x="T44" y="T45"/>
                </a:cxn>
                <a:cxn ang="T123">
                  <a:pos x="T46" y="T47"/>
                </a:cxn>
                <a:cxn ang="T124">
                  <a:pos x="T48" y="T49"/>
                </a:cxn>
                <a:cxn ang="T125">
                  <a:pos x="T50" y="T51"/>
                </a:cxn>
                <a:cxn ang="T126">
                  <a:pos x="T52" y="T53"/>
                </a:cxn>
                <a:cxn ang="T127">
                  <a:pos x="T54" y="T55"/>
                </a:cxn>
                <a:cxn ang="T128">
                  <a:pos x="T56" y="T57"/>
                </a:cxn>
                <a:cxn ang="T129">
                  <a:pos x="T58" y="T59"/>
                </a:cxn>
                <a:cxn ang="T130">
                  <a:pos x="T60" y="T61"/>
                </a:cxn>
                <a:cxn ang="T131">
                  <a:pos x="T62" y="T63"/>
                </a:cxn>
                <a:cxn ang="T132">
                  <a:pos x="T64" y="T65"/>
                </a:cxn>
                <a:cxn ang="T133">
                  <a:pos x="T66" y="T67"/>
                </a:cxn>
                <a:cxn ang="T134">
                  <a:pos x="T68" y="T69"/>
                </a:cxn>
                <a:cxn ang="T135">
                  <a:pos x="T70" y="T71"/>
                </a:cxn>
                <a:cxn ang="T136">
                  <a:pos x="T72" y="T73"/>
                </a:cxn>
                <a:cxn ang="T137">
                  <a:pos x="T74" y="T75"/>
                </a:cxn>
                <a:cxn ang="T138">
                  <a:pos x="T76" y="T77"/>
                </a:cxn>
                <a:cxn ang="T139">
                  <a:pos x="T78" y="T79"/>
                </a:cxn>
                <a:cxn ang="T140">
                  <a:pos x="T80" y="T81"/>
                </a:cxn>
                <a:cxn ang="T141">
                  <a:pos x="T82" y="T83"/>
                </a:cxn>
                <a:cxn ang="T142">
                  <a:pos x="T84" y="T85"/>
                </a:cxn>
                <a:cxn ang="T143">
                  <a:pos x="T86" y="T87"/>
                </a:cxn>
                <a:cxn ang="T144">
                  <a:pos x="T88" y="T89"/>
                </a:cxn>
                <a:cxn ang="T145">
                  <a:pos x="T90" y="T91"/>
                </a:cxn>
                <a:cxn ang="T146">
                  <a:pos x="T92" y="T93"/>
                </a:cxn>
                <a:cxn ang="T147">
                  <a:pos x="T94" y="T95"/>
                </a:cxn>
                <a:cxn ang="T148">
                  <a:pos x="T96" y="T97"/>
                </a:cxn>
                <a:cxn ang="T149">
                  <a:pos x="T98" y="T99"/>
                </a:cxn>
              </a:cxnLst>
              <a:rect l="T150" t="T151" r="T152" b="T153"/>
              <a:pathLst>
                <a:path w="1614" h="720">
                  <a:moveTo>
                    <a:pt x="0" y="720"/>
                  </a:moveTo>
                  <a:lnTo>
                    <a:pt x="6" y="720"/>
                  </a:lnTo>
                  <a:lnTo>
                    <a:pt x="12" y="714"/>
                  </a:lnTo>
                  <a:lnTo>
                    <a:pt x="24" y="714"/>
                  </a:lnTo>
                  <a:lnTo>
                    <a:pt x="30" y="708"/>
                  </a:lnTo>
                  <a:lnTo>
                    <a:pt x="36" y="708"/>
                  </a:lnTo>
                  <a:lnTo>
                    <a:pt x="48" y="702"/>
                  </a:lnTo>
                  <a:lnTo>
                    <a:pt x="54" y="702"/>
                  </a:lnTo>
                  <a:lnTo>
                    <a:pt x="60" y="696"/>
                  </a:lnTo>
                  <a:lnTo>
                    <a:pt x="72" y="690"/>
                  </a:lnTo>
                  <a:lnTo>
                    <a:pt x="78" y="690"/>
                  </a:lnTo>
                  <a:lnTo>
                    <a:pt x="84" y="684"/>
                  </a:lnTo>
                  <a:lnTo>
                    <a:pt x="96" y="678"/>
                  </a:lnTo>
                  <a:lnTo>
                    <a:pt x="102" y="672"/>
                  </a:lnTo>
                  <a:lnTo>
                    <a:pt x="114" y="672"/>
                  </a:lnTo>
                  <a:lnTo>
                    <a:pt x="120" y="666"/>
                  </a:lnTo>
                  <a:lnTo>
                    <a:pt x="126" y="660"/>
                  </a:lnTo>
                  <a:lnTo>
                    <a:pt x="138" y="654"/>
                  </a:lnTo>
                  <a:lnTo>
                    <a:pt x="144" y="648"/>
                  </a:lnTo>
                  <a:lnTo>
                    <a:pt x="150" y="642"/>
                  </a:lnTo>
                  <a:lnTo>
                    <a:pt x="162" y="636"/>
                  </a:lnTo>
                  <a:lnTo>
                    <a:pt x="168" y="630"/>
                  </a:lnTo>
                  <a:lnTo>
                    <a:pt x="174" y="624"/>
                  </a:lnTo>
                  <a:lnTo>
                    <a:pt x="186" y="618"/>
                  </a:lnTo>
                  <a:lnTo>
                    <a:pt x="192" y="612"/>
                  </a:lnTo>
                  <a:lnTo>
                    <a:pt x="198" y="606"/>
                  </a:lnTo>
                  <a:lnTo>
                    <a:pt x="210" y="600"/>
                  </a:lnTo>
                  <a:lnTo>
                    <a:pt x="216" y="588"/>
                  </a:lnTo>
                  <a:lnTo>
                    <a:pt x="222" y="582"/>
                  </a:lnTo>
                  <a:lnTo>
                    <a:pt x="234" y="576"/>
                  </a:lnTo>
                  <a:lnTo>
                    <a:pt x="240" y="570"/>
                  </a:lnTo>
                  <a:lnTo>
                    <a:pt x="246" y="558"/>
                  </a:lnTo>
                  <a:lnTo>
                    <a:pt x="258" y="552"/>
                  </a:lnTo>
                  <a:lnTo>
                    <a:pt x="264" y="546"/>
                  </a:lnTo>
                  <a:lnTo>
                    <a:pt x="270" y="534"/>
                  </a:lnTo>
                  <a:lnTo>
                    <a:pt x="282" y="528"/>
                  </a:lnTo>
                  <a:lnTo>
                    <a:pt x="288" y="516"/>
                  </a:lnTo>
                  <a:lnTo>
                    <a:pt x="300" y="510"/>
                  </a:lnTo>
                  <a:lnTo>
                    <a:pt x="306" y="498"/>
                  </a:lnTo>
                  <a:lnTo>
                    <a:pt x="312" y="492"/>
                  </a:lnTo>
                  <a:lnTo>
                    <a:pt x="324" y="480"/>
                  </a:lnTo>
                  <a:lnTo>
                    <a:pt x="330" y="474"/>
                  </a:lnTo>
                  <a:lnTo>
                    <a:pt x="336" y="462"/>
                  </a:lnTo>
                  <a:lnTo>
                    <a:pt x="348" y="450"/>
                  </a:lnTo>
                  <a:lnTo>
                    <a:pt x="354" y="444"/>
                  </a:lnTo>
                  <a:lnTo>
                    <a:pt x="360" y="432"/>
                  </a:lnTo>
                  <a:lnTo>
                    <a:pt x="372" y="420"/>
                  </a:lnTo>
                  <a:lnTo>
                    <a:pt x="378" y="414"/>
                  </a:lnTo>
                  <a:lnTo>
                    <a:pt x="384" y="402"/>
                  </a:lnTo>
                  <a:lnTo>
                    <a:pt x="396" y="390"/>
                  </a:lnTo>
                  <a:lnTo>
                    <a:pt x="402" y="378"/>
                  </a:lnTo>
                  <a:lnTo>
                    <a:pt x="408" y="372"/>
                  </a:lnTo>
                  <a:lnTo>
                    <a:pt x="420" y="360"/>
                  </a:lnTo>
                  <a:lnTo>
                    <a:pt x="426" y="348"/>
                  </a:lnTo>
                  <a:lnTo>
                    <a:pt x="432" y="336"/>
                  </a:lnTo>
                  <a:lnTo>
                    <a:pt x="444" y="324"/>
                  </a:lnTo>
                  <a:lnTo>
                    <a:pt x="450" y="318"/>
                  </a:lnTo>
                  <a:lnTo>
                    <a:pt x="456" y="306"/>
                  </a:lnTo>
                  <a:lnTo>
                    <a:pt x="468" y="294"/>
                  </a:lnTo>
                  <a:lnTo>
                    <a:pt x="474" y="282"/>
                  </a:lnTo>
                  <a:lnTo>
                    <a:pt x="486" y="270"/>
                  </a:lnTo>
                  <a:lnTo>
                    <a:pt x="492" y="258"/>
                  </a:lnTo>
                  <a:lnTo>
                    <a:pt x="498" y="252"/>
                  </a:lnTo>
                  <a:lnTo>
                    <a:pt x="510" y="240"/>
                  </a:lnTo>
                  <a:lnTo>
                    <a:pt x="516" y="228"/>
                  </a:lnTo>
                  <a:lnTo>
                    <a:pt x="522" y="216"/>
                  </a:lnTo>
                  <a:lnTo>
                    <a:pt x="534" y="210"/>
                  </a:lnTo>
                  <a:lnTo>
                    <a:pt x="540" y="198"/>
                  </a:lnTo>
                  <a:lnTo>
                    <a:pt x="546" y="186"/>
                  </a:lnTo>
                  <a:lnTo>
                    <a:pt x="558" y="174"/>
                  </a:lnTo>
                  <a:lnTo>
                    <a:pt x="564" y="168"/>
                  </a:lnTo>
                  <a:lnTo>
                    <a:pt x="570" y="156"/>
                  </a:lnTo>
                  <a:lnTo>
                    <a:pt x="582" y="150"/>
                  </a:lnTo>
                  <a:lnTo>
                    <a:pt x="588" y="138"/>
                  </a:lnTo>
                  <a:lnTo>
                    <a:pt x="594" y="126"/>
                  </a:lnTo>
                  <a:lnTo>
                    <a:pt x="606" y="120"/>
                  </a:lnTo>
                  <a:lnTo>
                    <a:pt x="612" y="114"/>
                  </a:lnTo>
                  <a:lnTo>
                    <a:pt x="618" y="102"/>
                  </a:lnTo>
                  <a:lnTo>
                    <a:pt x="630" y="96"/>
                  </a:lnTo>
                  <a:lnTo>
                    <a:pt x="636" y="84"/>
                  </a:lnTo>
                  <a:lnTo>
                    <a:pt x="642" y="78"/>
                  </a:lnTo>
                  <a:lnTo>
                    <a:pt x="654" y="72"/>
                  </a:lnTo>
                  <a:lnTo>
                    <a:pt x="660" y="66"/>
                  </a:lnTo>
                  <a:lnTo>
                    <a:pt x="672" y="60"/>
                  </a:lnTo>
                  <a:lnTo>
                    <a:pt x="678" y="54"/>
                  </a:lnTo>
                  <a:lnTo>
                    <a:pt x="684" y="48"/>
                  </a:lnTo>
                  <a:lnTo>
                    <a:pt x="696" y="42"/>
                  </a:lnTo>
                  <a:lnTo>
                    <a:pt x="702" y="36"/>
                  </a:lnTo>
                  <a:lnTo>
                    <a:pt x="708" y="30"/>
                  </a:lnTo>
                  <a:lnTo>
                    <a:pt x="720" y="24"/>
                  </a:lnTo>
                  <a:lnTo>
                    <a:pt x="726" y="18"/>
                  </a:lnTo>
                  <a:lnTo>
                    <a:pt x="732" y="18"/>
                  </a:lnTo>
                  <a:lnTo>
                    <a:pt x="744" y="12"/>
                  </a:lnTo>
                  <a:lnTo>
                    <a:pt x="750" y="12"/>
                  </a:lnTo>
                  <a:lnTo>
                    <a:pt x="756" y="6"/>
                  </a:lnTo>
                  <a:lnTo>
                    <a:pt x="768" y="6"/>
                  </a:lnTo>
                  <a:lnTo>
                    <a:pt x="774" y="0"/>
                  </a:lnTo>
                  <a:lnTo>
                    <a:pt x="780" y="0"/>
                  </a:lnTo>
                  <a:lnTo>
                    <a:pt x="792" y="0"/>
                  </a:lnTo>
                  <a:lnTo>
                    <a:pt x="798" y="0"/>
                  </a:lnTo>
                  <a:lnTo>
                    <a:pt x="804" y="0"/>
                  </a:lnTo>
                  <a:lnTo>
                    <a:pt x="816" y="0"/>
                  </a:lnTo>
                  <a:lnTo>
                    <a:pt x="822" y="0"/>
                  </a:lnTo>
                  <a:lnTo>
                    <a:pt x="828" y="0"/>
                  </a:lnTo>
                  <a:lnTo>
                    <a:pt x="840" y="0"/>
                  </a:lnTo>
                  <a:lnTo>
                    <a:pt x="846" y="6"/>
                  </a:lnTo>
                  <a:lnTo>
                    <a:pt x="858" y="6"/>
                  </a:lnTo>
                  <a:lnTo>
                    <a:pt x="864" y="12"/>
                  </a:lnTo>
                  <a:lnTo>
                    <a:pt x="870" y="12"/>
                  </a:lnTo>
                  <a:lnTo>
                    <a:pt x="882" y="18"/>
                  </a:lnTo>
                  <a:lnTo>
                    <a:pt x="888" y="18"/>
                  </a:lnTo>
                  <a:lnTo>
                    <a:pt x="894" y="24"/>
                  </a:lnTo>
                  <a:lnTo>
                    <a:pt x="906" y="30"/>
                  </a:lnTo>
                  <a:lnTo>
                    <a:pt x="912" y="36"/>
                  </a:lnTo>
                  <a:lnTo>
                    <a:pt x="918" y="42"/>
                  </a:lnTo>
                  <a:lnTo>
                    <a:pt x="930" y="48"/>
                  </a:lnTo>
                  <a:lnTo>
                    <a:pt x="936" y="54"/>
                  </a:lnTo>
                  <a:lnTo>
                    <a:pt x="942" y="60"/>
                  </a:lnTo>
                  <a:lnTo>
                    <a:pt x="954" y="66"/>
                  </a:lnTo>
                  <a:lnTo>
                    <a:pt x="960" y="72"/>
                  </a:lnTo>
                  <a:lnTo>
                    <a:pt x="966" y="78"/>
                  </a:lnTo>
                  <a:lnTo>
                    <a:pt x="978" y="84"/>
                  </a:lnTo>
                  <a:lnTo>
                    <a:pt x="984" y="96"/>
                  </a:lnTo>
                  <a:lnTo>
                    <a:pt x="990" y="102"/>
                  </a:lnTo>
                  <a:lnTo>
                    <a:pt x="1002" y="114"/>
                  </a:lnTo>
                  <a:lnTo>
                    <a:pt x="1008" y="120"/>
                  </a:lnTo>
                  <a:lnTo>
                    <a:pt x="1014" y="126"/>
                  </a:lnTo>
                  <a:lnTo>
                    <a:pt x="1026" y="138"/>
                  </a:lnTo>
                  <a:lnTo>
                    <a:pt x="1032" y="150"/>
                  </a:lnTo>
                  <a:lnTo>
                    <a:pt x="1044" y="156"/>
                  </a:lnTo>
                  <a:lnTo>
                    <a:pt x="1050" y="168"/>
                  </a:lnTo>
                  <a:lnTo>
                    <a:pt x="1056" y="174"/>
                  </a:lnTo>
                  <a:lnTo>
                    <a:pt x="1068" y="186"/>
                  </a:lnTo>
                  <a:lnTo>
                    <a:pt x="1074" y="198"/>
                  </a:lnTo>
                  <a:lnTo>
                    <a:pt x="1080" y="210"/>
                  </a:lnTo>
                  <a:lnTo>
                    <a:pt x="1092" y="216"/>
                  </a:lnTo>
                  <a:lnTo>
                    <a:pt x="1098" y="228"/>
                  </a:lnTo>
                  <a:lnTo>
                    <a:pt x="1104" y="240"/>
                  </a:lnTo>
                  <a:lnTo>
                    <a:pt x="1116" y="252"/>
                  </a:lnTo>
                  <a:lnTo>
                    <a:pt x="1122" y="258"/>
                  </a:lnTo>
                  <a:lnTo>
                    <a:pt x="1128" y="270"/>
                  </a:lnTo>
                  <a:lnTo>
                    <a:pt x="1140" y="282"/>
                  </a:lnTo>
                  <a:lnTo>
                    <a:pt x="1146" y="294"/>
                  </a:lnTo>
                  <a:lnTo>
                    <a:pt x="1152" y="306"/>
                  </a:lnTo>
                  <a:lnTo>
                    <a:pt x="1164" y="318"/>
                  </a:lnTo>
                  <a:lnTo>
                    <a:pt x="1170" y="324"/>
                  </a:lnTo>
                  <a:lnTo>
                    <a:pt x="1176" y="336"/>
                  </a:lnTo>
                  <a:lnTo>
                    <a:pt x="1188" y="348"/>
                  </a:lnTo>
                  <a:lnTo>
                    <a:pt x="1194" y="360"/>
                  </a:lnTo>
                  <a:lnTo>
                    <a:pt x="1200" y="372"/>
                  </a:lnTo>
                  <a:lnTo>
                    <a:pt x="1212" y="378"/>
                  </a:lnTo>
                  <a:lnTo>
                    <a:pt x="1218" y="390"/>
                  </a:lnTo>
                  <a:lnTo>
                    <a:pt x="1230" y="402"/>
                  </a:lnTo>
                  <a:lnTo>
                    <a:pt x="1236" y="414"/>
                  </a:lnTo>
                  <a:lnTo>
                    <a:pt x="1242" y="420"/>
                  </a:lnTo>
                  <a:lnTo>
                    <a:pt x="1254" y="432"/>
                  </a:lnTo>
                  <a:lnTo>
                    <a:pt x="1260" y="444"/>
                  </a:lnTo>
                  <a:lnTo>
                    <a:pt x="1266" y="450"/>
                  </a:lnTo>
                  <a:lnTo>
                    <a:pt x="1278" y="462"/>
                  </a:lnTo>
                  <a:lnTo>
                    <a:pt x="1284" y="474"/>
                  </a:lnTo>
                  <a:lnTo>
                    <a:pt x="1290" y="480"/>
                  </a:lnTo>
                  <a:lnTo>
                    <a:pt x="1302" y="492"/>
                  </a:lnTo>
                  <a:lnTo>
                    <a:pt x="1308" y="498"/>
                  </a:lnTo>
                  <a:lnTo>
                    <a:pt x="1314" y="510"/>
                  </a:lnTo>
                  <a:lnTo>
                    <a:pt x="1326" y="516"/>
                  </a:lnTo>
                  <a:lnTo>
                    <a:pt x="1332" y="528"/>
                  </a:lnTo>
                  <a:lnTo>
                    <a:pt x="1338" y="534"/>
                  </a:lnTo>
                  <a:lnTo>
                    <a:pt x="1350" y="546"/>
                  </a:lnTo>
                  <a:lnTo>
                    <a:pt x="1356" y="552"/>
                  </a:lnTo>
                  <a:lnTo>
                    <a:pt x="1362" y="558"/>
                  </a:lnTo>
                  <a:lnTo>
                    <a:pt x="1374" y="570"/>
                  </a:lnTo>
                  <a:lnTo>
                    <a:pt x="1380" y="576"/>
                  </a:lnTo>
                  <a:lnTo>
                    <a:pt x="1386" y="582"/>
                  </a:lnTo>
                  <a:lnTo>
                    <a:pt x="1398" y="588"/>
                  </a:lnTo>
                  <a:lnTo>
                    <a:pt x="1404" y="600"/>
                  </a:lnTo>
                  <a:lnTo>
                    <a:pt x="1416" y="606"/>
                  </a:lnTo>
                  <a:lnTo>
                    <a:pt x="1422" y="612"/>
                  </a:lnTo>
                  <a:lnTo>
                    <a:pt x="1428" y="618"/>
                  </a:lnTo>
                  <a:lnTo>
                    <a:pt x="1440" y="624"/>
                  </a:lnTo>
                  <a:lnTo>
                    <a:pt x="1446" y="630"/>
                  </a:lnTo>
                  <a:lnTo>
                    <a:pt x="1452" y="636"/>
                  </a:lnTo>
                  <a:lnTo>
                    <a:pt x="1464" y="642"/>
                  </a:lnTo>
                  <a:lnTo>
                    <a:pt x="1470" y="648"/>
                  </a:lnTo>
                  <a:lnTo>
                    <a:pt x="1476" y="654"/>
                  </a:lnTo>
                  <a:lnTo>
                    <a:pt x="1488" y="660"/>
                  </a:lnTo>
                  <a:lnTo>
                    <a:pt x="1494" y="666"/>
                  </a:lnTo>
                  <a:lnTo>
                    <a:pt x="1500" y="672"/>
                  </a:lnTo>
                  <a:lnTo>
                    <a:pt x="1512" y="672"/>
                  </a:lnTo>
                  <a:lnTo>
                    <a:pt x="1518" y="678"/>
                  </a:lnTo>
                  <a:lnTo>
                    <a:pt x="1524" y="684"/>
                  </a:lnTo>
                  <a:lnTo>
                    <a:pt x="1536" y="690"/>
                  </a:lnTo>
                  <a:lnTo>
                    <a:pt x="1542" y="690"/>
                  </a:lnTo>
                  <a:lnTo>
                    <a:pt x="1548" y="696"/>
                  </a:lnTo>
                  <a:lnTo>
                    <a:pt x="1560" y="702"/>
                  </a:lnTo>
                  <a:lnTo>
                    <a:pt x="1566" y="702"/>
                  </a:lnTo>
                  <a:lnTo>
                    <a:pt x="1572" y="708"/>
                  </a:lnTo>
                  <a:lnTo>
                    <a:pt x="1584" y="708"/>
                  </a:lnTo>
                  <a:lnTo>
                    <a:pt x="1590" y="714"/>
                  </a:lnTo>
                  <a:lnTo>
                    <a:pt x="1602" y="714"/>
                  </a:lnTo>
                  <a:lnTo>
                    <a:pt x="1608" y="720"/>
                  </a:lnTo>
                  <a:lnTo>
                    <a:pt x="1614" y="720"/>
                  </a:lnTo>
                </a:path>
              </a:pathLst>
            </a:custGeom>
            <a:noFill/>
            <a:ln w="2540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7195" name="Line 12">
              <a:extLst>
                <a:ext uri="{FF2B5EF4-FFF2-40B4-BE49-F238E27FC236}">
                  <a16:creationId xmlns:a16="http://schemas.microsoft.com/office/drawing/2014/main" id="{746153C6-EDFF-59B4-B69B-329F934B30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52" y="2478"/>
              <a:ext cx="0" cy="744"/>
            </a:xfrm>
            <a:prstGeom prst="line">
              <a:avLst/>
            </a:prstGeom>
            <a:noFill/>
            <a:ln w="31750">
              <a:solidFill>
                <a:srgbClr val="FF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96" name="Line 13">
              <a:extLst>
                <a:ext uri="{FF2B5EF4-FFF2-40B4-BE49-F238E27FC236}">
                  <a16:creationId xmlns:a16="http://schemas.microsoft.com/office/drawing/2014/main" id="{CD6F23D3-5AB0-D2A7-325F-8D3ABC9CB9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9" y="2478"/>
              <a:ext cx="0" cy="747"/>
            </a:xfrm>
            <a:prstGeom prst="line">
              <a:avLst/>
            </a:prstGeom>
            <a:noFill/>
            <a:ln w="19050">
              <a:solidFill>
                <a:srgbClr val="0C257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97" name="Freeform 14">
              <a:extLst>
                <a:ext uri="{FF2B5EF4-FFF2-40B4-BE49-F238E27FC236}">
                  <a16:creationId xmlns:a16="http://schemas.microsoft.com/office/drawing/2014/main" id="{96D718C9-8E42-202C-8125-A2063D919C83}"/>
                </a:ext>
              </a:extLst>
            </xdr:cNvPr>
            <xdr:cNvSpPr>
              <a:spLocks/>
            </xdr:cNvSpPr>
          </xdr:nvSpPr>
          <xdr:spPr bwMode="auto">
            <a:xfrm>
              <a:off x="1462" y="3024"/>
              <a:ext cx="237" cy="200"/>
            </a:xfrm>
            <a:custGeom>
              <a:avLst/>
              <a:gdLst>
                <a:gd name="T0" fmla="*/ 2 w 189"/>
                <a:gd name="T1" fmla="*/ 124 h 126"/>
                <a:gd name="T2" fmla="*/ 0 w 189"/>
                <a:gd name="T3" fmla="*/ 0 h 126"/>
                <a:gd name="T4" fmla="*/ 23 w 189"/>
                <a:gd name="T5" fmla="*/ 22 h 126"/>
                <a:gd name="T6" fmla="*/ 59 w 189"/>
                <a:gd name="T7" fmla="*/ 52 h 126"/>
                <a:gd name="T8" fmla="*/ 96 w 189"/>
                <a:gd name="T9" fmla="*/ 79 h 126"/>
                <a:gd name="T10" fmla="*/ 138 w 189"/>
                <a:gd name="T11" fmla="*/ 103 h 126"/>
                <a:gd name="T12" fmla="*/ 167 w 189"/>
                <a:gd name="T13" fmla="*/ 115 h 126"/>
                <a:gd name="T14" fmla="*/ 189 w 189"/>
                <a:gd name="T15" fmla="*/ 126 h 126"/>
                <a:gd name="T16" fmla="*/ 2 w 189"/>
                <a:gd name="T17" fmla="*/ 124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89"/>
                <a:gd name="T28" fmla="*/ 0 h 126"/>
                <a:gd name="T29" fmla="*/ 189 w 189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89" h="126">
                  <a:moveTo>
                    <a:pt x="2" y="124"/>
                  </a:moveTo>
                  <a:lnTo>
                    <a:pt x="0" y="0"/>
                  </a:lnTo>
                  <a:lnTo>
                    <a:pt x="23" y="22"/>
                  </a:lnTo>
                  <a:lnTo>
                    <a:pt x="59" y="52"/>
                  </a:lnTo>
                  <a:lnTo>
                    <a:pt x="96" y="79"/>
                  </a:lnTo>
                  <a:lnTo>
                    <a:pt x="138" y="103"/>
                  </a:lnTo>
                  <a:lnTo>
                    <a:pt x="167" y="115"/>
                  </a:lnTo>
                  <a:lnTo>
                    <a:pt x="189" y="126"/>
                  </a:lnTo>
                  <a:lnTo>
                    <a:pt x="2" y="124"/>
                  </a:lnTo>
                  <a:close/>
                </a:path>
              </a:pathLst>
            </a:custGeom>
            <a:solidFill>
              <a:srgbClr val="80808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14:hiddenLine>
              </a:ext>
            </a:extLst>
          </xdr:spPr>
        </xdr:sp>
      </xdr:grpSp>
      <xdr:sp macro="" textlink="">
        <xdr:nvSpPr>
          <xdr:cNvPr id="7183" name="Text Box 15">
            <a:extLst>
              <a:ext uri="{FF2B5EF4-FFF2-40B4-BE49-F238E27FC236}">
                <a16:creationId xmlns:a16="http://schemas.microsoft.com/office/drawing/2014/main" id="{8A62066D-596F-1E26-13EA-9E282F2A89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5" y="11"/>
            <a:ext cx="48" cy="5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4572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3366"/>
                </a:solidFill>
                <a:latin typeface="Tahoma"/>
                <a:ea typeface="Tahoma"/>
                <a:cs typeface="Tahoma"/>
              </a:rPr>
              <a:t>“Z”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3366"/>
              </a:solidFill>
              <a:latin typeface="Tahoma"/>
              <a:ea typeface="Tahoma"/>
              <a:cs typeface="Tahoma"/>
            </a:endParaRPr>
          </a:p>
        </xdr:txBody>
      </xdr:sp>
    </xdr:grpSp>
    <xdr:clientData/>
  </xdr:twoCellAnchor>
  <xdr:twoCellAnchor editAs="oneCell">
    <xdr:from>
      <xdr:col>1</xdr:col>
      <xdr:colOff>19050</xdr:colOff>
      <xdr:row>1</xdr:row>
      <xdr:rowOff>19050</xdr:rowOff>
    </xdr:from>
    <xdr:to>
      <xdr:col>7</xdr:col>
      <xdr:colOff>619125</xdr:colOff>
      <xdr:row>1</xdr:row>
      <xdr:rowOff>476250</xdr:rowOff>
    </xdr:to>
    <xdr:pic>
      <xdr:nvPicPr>
        <xdr:cNvPr id="7189" name="Picture 19" descr="20100414 Low Res RGB">
          <a:extLst>
            <a:ext uri="{FF2B5EF4-FFF2-40B4-BE49-F238E27FC236}">
              <a16:creationId xmlns:a16="http://schemas.microsoft.com/office/drawing/2014/main" id="{7B935E7F-D75D-DA6C-563A-25AF52E47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44481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104775</xdr:rowOff>
    </xdr:from>
    <xdr:to>
      <xdr:col>5</xdr:col>
      <xdr:colOff>1562100</xdr:colOff>
      <xdr:row>2</xdr:row>
      <xdr:rowOff>438150</xdr:rowOff>
    </xdr:to>
    <xdr:grpSp>
      <xdr:nvGrpSpPr>
        <xdr:cNvPr id="3092" name="Group 15">
          <a:extLst>
            <a:ext uri="{FF2B5EF4-FFF2-40B4-BE49-F238E27FC236}">
              <a16:creationId xmlns:a16="http://schemas.microsoft.com/office/drawing/2014/main" id="{C2E1AABB-7C72-CD8E-3CBF-CC5FB680205C}"/>
            </a:ext>
          </a:extLst>
        </xdr:cNvPr>
        <xdr:cNvGrpSpPr>
          <a:grpSpLocks/>
        </xdr:cNvGrpSpPr>
      </xdr:nvGrpSpPr>
      <xdr:grpSpPr bwMode="auto">
        <a:xfrm>
          <a:off x="4411756" y="115981"/>
          <a:ext cx="3156697" cy="815228"/>
          <a:chOff x="458" y="11"/>
          <a:chExt cx="331" cy="114"/>
        </a:xfrm>
      </xdr:grpSpPr>
      <xdr:grpSp>
        <xdr:nvGrpSpPr>
          <xdr:cNvPr id="3094" name="Group 2">
            <a:extLst>
              <a:ext uri="{FF2B5EF4-FFF2-40B4-BE49-F238E27FC236}">
                <a16:creationId xmlns:a16="http://schemas.microsoft.com/office/drawing/2014/main" id="{5DB8A199-13DC-5306-94AA-FC1912C23D85}"/>
              </a:ext>
            </a:extLst>
          </xdr:cNvPr>
          <xdr:cNvGrpSpPr>
            <a:grpSpLocks/>
          </xdr:cNvGrpSpPr>
        </xdr:nvGrpSpPr>
        <xdr:grpSpPr bwMode="auto">
          <a:xfrm>
            <a:off x="458" y="32"/>
            <a:ext cx="331" cy="93"/>
            <a:chOff x="398" y="2478"/>
            <a:chExt cx="1407" cy="747"/>
          </a:xfrm>
        </xdr:grpSpPr>
        <xdr:sp macro="" textlink="">
          <xdr:nvSpPr>
            <xdr:cNvPr id="3096" name="Line 3">
              <a:extLst>
                <a:ext uri="{FF2B5EF4-FFF2-40B4-BE49-F238E27FC236}">
                  <a16:creationId xmlns:a16="http://schemas.microsoft.com/office/drawing/2014/main" id="{610176B0-E7FD-69A7-C04D-A2227CD508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9" y="2523"/>
              <a:ext cx="351" cy="0"/>
            </a:xfrm>
            <a:prstGeom prst="line">
              <a:avLst/>
            </a:prstGeom>
            <a:noFill/>
            <a:ln w="9525">
              <a:solidFill>
                <a:srgbClr val="0C2577"/>
              </a:solidFill>
              <a:round/>
              <a:headEnd type="stealth" w="lg" len="lg"/>
              <a:tailEnd type="stealth" w="lg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97" name="Line 4">
              <a:extLst>
                <a:ext uri="{FF2B5EF4-FFF2-40B4-BE49-F238E27FC236}">
                  <a16:creationId xmlns:a16="http://schemas.microsoft.com/office/drawing/2014/main" id="{7430BED6-3E17-D9FF-57ED-B0C5EE673A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8" y="3225"/>
              <a:ext cx="1407" cy="0"/>
            </a:xfrm>
            <a:prstGeom prst="line">
              <a:avLst/>
            </a:prstGeom>
            <a:noFill/>
            <a:ln w="9525">
              <a:solidFill>
                <a:srgbClr val="0C257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98" name="Freeform 5">
              <a:extLst>
                <a:ext uri="{FF2B5EF4-FFF2-40B4-BE49-F238E27FC236}">
                  <a16:creationId xmlns:a16="http://schemas.microsoft.com/office/drawing/2014/main" id="{0F0FDF79-41E6-F1FB-04B5-44DCBE2C0E31}"/>
                </a:ext>
              </a:extLst>
            </xdr:cNvPr>
            <xdr:cNvSpPr>
              <a:spLocks/>
            </xdr:cNvSpPr>
          </xdr:nvSpPr>
          <xdr:spPr bwMode="auto">
            <a:xfrm>
              <a:off x="479" y="2646"/>
              <a:ext cx="1244" cy="570"/>
            </a:xfrm>
            <a:custGeom>
              <a:avLst/>
              <a:gdLst>
                <a:gd name="T0" fmla="*/ 24 w 1614"/>
                <a:gd name="T1" fmla="*/ 714 h 720"/>
                <a:gd name="T2" fmla="*/ 54 w 1614"/>
                <a:gd name="T3" fmla="*/ 702 h 720"/>
                <a:gd name="T4" fmla="*/ 84 w 1614"/>
                <a:gd name="T5" fmla="*/ 684 h 720"/>
                <a:gd name="T6" fmla="*/ 120 w 1614"/>
                <a:gd name="T7" fmla="*/ 666 h 720"/>
                <a:gd name="T8" fmla="*/ 150 w 1614"/>
                <a:gd name="T9" fmla="*/ 642 h 720"/>
                <a:gd name="T10" fmla="*/ 186 w 1614"/>
                <a:gd name="T11" fmla="*/ 618 h 720"/>
                <a:gd name="T12" fmla="*/ 216 w 1614"/>
                <a:gd name="T13" fmla="*/ 588 h 720"/>
                <a:gd name="T14" fmla="*/ 246 w 1614"/>
                <a:gd name="T15" fmla="*/ 558 h 720"/>
                <a:gd name="T16" fmla="*/ 282 w 1614"/>
                <a:gd name="T17" fmla="*/ 528 h 720"/>
                <a:gd name="T18" fmla="*/ 312 w 1614"/>
                <a:gd name="T19" fmla="*/ 492 h 720"/>
                <a:gd name="T20" fmla="*/ 348 w 1614"/>
                <a:gd name="T21" fmla="*/ 450 h 720"/>
                <a:gd name="T22" fmla="*/ 378 w 1614"/>
                <a:gd name="T23" fmla="*/ 414 h 720"/>
                <a:gd name="T24" fmla="*/ 408 w 1614"/>
                <a:gd name="T25" fmla="*/ 372 h 720"/>
                <a:gd name="T26" fmla="*/ 444 w 1614"/>
                <a:gd name="T27" fmla="*/ 324 h 720"/>
                <a:gd name="T28" fmla="*/ 474 w 1614"/>
                <a:gd name="T29" fmla="*/ 282 h 720"/>
                <a:gd name="T30" fmla="*/ 510 w 1614"/>
                <a:gd name="T31" fmla="*/ 240 h 720"/>
                <a:gd name="T32" fmla="*/ 540 w 1614"/>
                <a:gd name="T33" fmla="*/ 198 h 720"/>
                <a:gd name="T34" fmla="*/ 570 w 1614"/>
                <a:gd name="T35" fmla="*/ 156 h 720"/>
                <a:gd name="T36" fmla="*/ 606 w 1614"/>
                <a:gd name="T37" fmla="*/ 120 h 720"/>
                <a:gd name="T38" fmla="*/ 636 w 1614"/>
                <a:gd name="T39" fmla="*/ 84 h 720"/>
                <a:gd name="T40" fmla="*/ 672 w 1614"/>
                <a:gd name="T41" fmla="*/ 60 h 720"/>
                <a:gd name="T42" fmla="*/ 702 w 1614"/>
                <a:gd name="T43" fmla="*/ 36 h 720"/>
                <a:gd name="T44" fmla="*/ 732 w 1614"/>
                <a:gd name="T45" fmla="*/ 18 h 720"/>
                <a:gd name="T46" fmla="*/ 768 w 1614"/>
                <a:gd name="T47" fmla="*/ 6 h 720"/>
                <a:gd name="T48" fmla="*/ 798 w 1614"/>
                <a:gd name="T49" fmla="*/ 0 h 720"/>
                <a:gd name="T50" fmla="*/ 828 w 1614"/>
                <a:gd name="T51" fmla="*/ 0 h 720"/>
                <a:gd name="T52" fmla="*/ 864 w 1614"/>
                <a:gd name="T53" fmla="*/ 12 h 720"/>
                <a:gd name="T54" fmla="*/ 894 w 1614"/>
                <a:gd name="T55" fmla="*/ 24 h 720"/>
                <a:gd name="T56" fmla="*/ 930 w 1614"/>
                <a:gd name="T57" fmla="*/ 48 h 720"/>
                <a:gd name="T58" fmla="*/ 960 w 1614"/>
                <a:gd name="T59" fmla="*/ 72 h 720"/>
                <a:gd name="T60" fmla="*/ 990 w 1614"/>
                <a:gd name="T61" fmla="*/ 102 h 720"/>
                <a:gd name="T62" fmla="*/ 1026 w 1614"/>
                <a:gd name="T63" fmla="*/ 138 h 720"/>
                <a:gd name="T64" fmla="*/ 1056 w 1614"/>
                <a:gd name="T65" fmla="*/ 174 h 720"/>
                <a:gd name="T66" fmla="*/ 1092 w 1614"/>
                <a:gd name="T67" fmla="*/ 216 h 720"/>
                <a:gd name="T68" fmla="*/ 1122 w 1614"/>
                <a:gd name="T69" fmla="*/ 258 h 720"/>
                <a:gd name="T70" fmla="*/ 1152 w 1614"/>
                <a:gd name="T71" fmla="*/ 306 h 720"/>
                <a:gd name="T72" fmla="*/ 1188 w 1614"/>
                <a:gd name="T73" fmla="*/ 348 h 720"/>
                <a:gd name="T74" fmla="*/ 1218 w 1614"/>
                <a:gd name="T75" fmla="*/ 390 h 720"/>
                <a:gd name="T76" fmla="*/ 1254 w 1614"/>
                <a:gd name="T77" fmla="*/ 432 h 720"/>
                <a:gd name="T78" fmla="*/ 1284 w 1614"/>
                <a:gd name="T79" fmla="*/ 474 h 720"/>
                <a:gd name="T80" fmla="*/ 1314 w 1614"/>
                <a:gd name="T81" fmla="*/ 510 h 720"/>
                <a:gd name="T82" fmla="*/ 1350 w 1614"/>
                <a:gd name="T83" fmla="*/ 546 h 720"/>
                <a:gd name="T84" fmla="*/ 1380 w 1614"/>
                <a:gd name="T85" fmla="*/ 576 h 720"/>
                <a:gd name="T86" fmla="*/ 1416 w 1614"/>
                <a:gd name="T87" fmla="*/ 606 h 720"/>
                <a:gd name="T88" fmla="*/ 1446 w 1614"/>
                <a:gd name="T89" fmla="*/ 630 h 720"/>
                <a:gd name="T90" fmla="*/ 1476 w 1614"/>
                <a:gd name="T91" fmla="*/ 654 h 720"/>
                <a:gd name="T92" fmla="*/ 1512 w 1614"/>
                <a:gd name="T93" fmla="*/ 672 h 720"/>
                <a:gd name="T94" fmla="*/ 1542 w 1614"/>
                <a:gd name="T95" fmla="*/ 690 h 720"/>
                <a:gd name="T96" fmla="*/ 1572 w 1614"/>
                <a:gd name="T97" fmla="*/ 708 h 720"/>
                <a:gd name="T98" fmla="*/ 1608 w 1614"/>
                <a:gd name="T99" fmla="*/ 720 h 720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w 1614"/>
                <a:gd name="T151" fmla="*/ 0 h 720"/>
                <a:gd name="T152" fmla="*/ 1614 w 1614"/>
                <a:gd name="T153" fmla="*/ 720 h 720"/>
              </a:gdLst>
              <a:ahLst/>
              <a:cxnLst>
                <a:cxn ang="T100">
                  <a:pos x="T0" y="T1"/>
                </a:cxn>
                <a:cxn ang="T101">
                  <a:pos x="T2" y="T3"/>
                </a:cxn>
                <a:cxn ang="T102">
                  <a:pos x="T4" y="T5"/>
                </a:cxn>
                <a:cxn ang="T103">
                  <a:pos x="T6" y="T7"/>
                </a:cxn>
                <a:cxn ang="T104">
                  <a:pos x="T8" y="T9"/>
                </a:cxn>
                <a:cxn ang="T105">
                  <a:pos x="T10" y="T11"/>
                </a:cxn>
                <a:cxn ang="T106">
                  <a:pos x="T12" y="T13"/>
                </a:cxn>
                <a:cxn ang="T107">
                  <a:pos x="T14" y="T15"/>
                </a:cxn>
                <a:cxn ang="T108">
                  <a:pos x="T16" y="T17"/>
                </a:cxn>
                <a:cxn ang="T109">
                  <a:pos x="T18" y="T19"/>
                </a:cxn>
                <a:cxn ang="T110">
                  <a:pos x="T20" y="T21"/>
                </a:cxn>
                <a:cxn ang="T111">
                  <a:pos x="T22" y="T23"/>
                </a:cxn>
                <a:cxn ang="T112">
                  <a:pos x="T24" y="T25"/>
                </a:cxn>
                <a:cxn ang="T113">
                  <a:pos x="T26" y="T27"/>
                </a:cxn>
                <a:cxn ang="T114">
                  <a:pos x="T28" y="T29"/>
                </a:cxn>
                <a:cxn ang="T115">
                  <a:pos x="T30" y="T31"/>
                </a:cxn>
                <a:cxn ang="T116">
                  <a:pos x="T32" y="T33"/>
                </a:cxn>
                <a:cxn ang="T117">
                  <a:pos x="T34" y="T35"/>
                </a:cxn>
                <a:cxn ang="T118">
                  <a:pos x="T36" y="T37"/>
                </a:cxn>
                <a:cxn ang="T119">
                  <a:pos x="T38" y="T39"/>
                </a:cxn>
                <a:cxn ang="T120">
                  <a:pos x="T40" y="T41"/>
                </a:cxn>
                <a:cxn ang="T121">
                  <a:pos x="T42" y="T43"/>
                </a:cxn>
                <a:cxn ang="T122">
                  <a:pos x="T44" y="T45"/>
                </a:cxn>
                <a:cxn ang="T123">
                  <a:pos x="T46" y="T47"/>
                </a:cxn>
                <a:cxn ang="T124">
                  <a:pos x="T48" y="T49"/>
                </a:cxn>
                <a:cxn ang="T125">
                  <a:pos x="T50" y="T51"/>
                </a:cxn>
                <a:cxn ang="T126">
                  <a:pos x="T52" y="T53"/>
                </a:cxn>
                <a:cxn ang="T127">
                  <a:pos x="T54" y="T55"/>
                </a:cxn>
                <a:cxn ang="T128">
                  <a:pos x="T56" y="T57"/>
                </a:cxn>
                <a:cxn ang="T129">
                  <a:pos x="T58" y="T59"/>
                </a:cxn>
                <a:cxn ang="T130">
                  <a:pos x="T60" y="T61"/>
                </a:cxn>
                <a:cxn ang="T131">
                  <a:pos x="T62" y="T63"/>
                </a:cxn>
                <a:cxn ang="T132">
                  <a:pos x="T64" y="T65"/>
                </a:cxn>
                <a:cxn ang="T133">
                  <a:pos x="T66" y="T67"/>
                </a:cxn>
                <a:cxn ang="T134">
                  <a:pos x="T68" y="T69"/>
                </a:cxn>
                <a:cxn ang="T135">
                  <a:pos x="T70" y="T71"/>
                </a:cxn>
                <a:cxn ang="T136">
                  <a:pos x="T72" y="T73"/>
                </a:cxn>
                <a:cxn ang="T137">
                  <a:pos x="T74" y="T75"/>
                </a:cxn>
                <a:cxn ang="T138">
                  <a:pos x="T76" y="T77"/>
                </a:cxn>
                <a:cxn ang="T139">
                  <a:pos x="T78" y="T79"/>
                </a:cxn>
                <a:cxn ang="T140">
                  <a:pos x="T80" y="T81"/>
                </a:cxn>
                <a:cxn ang="T141">
                  <a:pos x="T82" y="T83"/>
                </a:cxn>
                <a:cxn ang="T142">
                  <a:pos x="T84" y="T85"/>
                </a:cxn>
                <a:cxn ang="T143">
                  <a:pos x="T86" y="T87"/>
                </a:cxn>
                <a:cxn ang="T144">
                  <a:pos x="T88" y="T89"/>
                </a:cxn>
                <a:cxn ang="T145">
                  <a:pos x="T90" y="T91"/>
                </a:cxn>
                <a:cxn ang="T146">
                  <a:pos x="T92" y="T93"/>
                </a:cxn>
                <a:cxn ang="T147">
                  <a:pos x="T94" y="T95"/>
                </a:cxn>
                <a:cxn ang="T148">
                  <a:pos x="T96" y="T97"/>
                </a:cxn>
                <a:cxn ang="T149">
                  <a:pos x="T98" y="T99"/>
                </a:cxn>
              </a:cxnLst>
              <a:rect l="T150" t="T151" r="T152" b="T153"/>
              <a:pathLst>
                <a:path w="1614" h="720">
                  <a:moveTo>
                    <a:pt x="0" y="720"/>
                  </a:moveTo>
                  <a:lnTo>
                    <a:pt x="6" y="720"/>
                  </a:lnTo>
                  <a:lnTo>
                    <a:pt x="12" y="714"/>
                  </a:lnTo>
                  <a:lnTo>
                    <a:pt x="24" y="714"/>
                  </a:lnTo>
                  <a:lnTo>
                    <a:pt x="30" y="708"/>
                  </a:lnTo>
                  <a:lnTo>
                    <a:pt x="36" y="708"/>
                  </a:lnTo>
                  <a:lnTo>
                    <a:pt x="48" y="702"/>
                  </a:lnTo>
                  <a:lnTo>
                    <a:pt x="54" y="702"/>
                  </a:lnTo>
                  <a:lnTo>
                    <a:pt x="60" y="696"/>
                  </a:lnTo>
                  <a:lnTo>
                    <a:pt x="72" y="690"/>
                  </a:lnTo>
                  <a:lnTo>
                    <a:pt x="78" y="690"/>
                  </a:lnTo>
                  <a:lnTo>
                    <a:pt x="84" y="684"/>
                  </a:lnTo>
                  <a:lnTo>
                    <a:pt x="96" y="678"/>
                  </a:lnTo>
                  <a:lnTo>
                    <a:pt x="102" y="672"/>
                  </a:lnTo>
                  <a:lnTo>
                    <a:pt x="114" y="672"/>
                  </a:lnTo>
                  <a:lnTo>
                    <a:pt x="120" y="666"/>
                  </a:lnTo>
                  <a:lnTo>
                    <a:pt x="126" y="660"/>
                  </a:lnTo>
                  <a:lnTo>
                    <a:pt x="138" y="654"/>
                  </a:lnTo>
                  <a:lnTo>
                    <a:pt x="144" y="648"/>
                  </a:lnTo>
                  <a:lnTo>
                    <a:pt x="150" y="642"/>
                  </a:lnTo>
                  <a:lnTo>
                    <a:pt x="162" y="636"/>
                  </a:lnTo>
                  <a:lnTo>
                    <a:pt x="168" y="630"/>
                  </a:lnTo>
                  <a:lnTo>
                    <a:pt x="174" y="624"/>
                  </a:lnTo>
                  <a:lnTo>
                    <a:pt x="186" y="618"/>
                  </a:lnTo>
                  <a:lnTo>
                    <a:pt x="192" y="612"/>
                  </a:lnTo>
                  <a:lnTo>
                    <a:pt x="198" y="606"/>
                  </a:lnTo>
                  <a:lnTo>
                    <a:pt x="210" y="600"/>
                  </a:lnTo>
                  <a:lnTo>
                    <a:pt x="216" y="588"/>
                  </a:lnTo>
                  <a:lnTo>
                    <a:pt x="222" y="582"/>
                  </a:lnTo>
                  <a:lnTo>
                    <a:pt x="234" y="576"/>
                  </a:lnTo>
                  <a:lnTo>
                    <a:pt x="240" y="570"/>
                  </a:lnTo>
                  <a:lnTo>
                    <a:pt x="246" y="558"/>
                  </a:lnTo>
                  <a:lnTo>
                    <a:pt x="258" y="552"/>
                  </a:lnTo>
                  <a:lnTo>
                    <a:pt x="264" y="546"/>
                  </a:lnTo>
                  <a:lnTo>
                    <a:pt x="270" y="534"/>
                  </a:lnTo>
                  <a:lnTo>
                    <a:pt x="282" y="528"/>
                  </a:lnTo>
                  <a:lnTo>
                    <a:pt x="288" y="516"/>
                  </a:lnTo>
                  <a:lnTo>
                    <a:pt x="300" y="510"/>
                  </a:lnTo>
                  <a:lnTo>
                    <a:pt x="306" y="498"/>
                  </a:lnTo>
                  <a:lnTo>
                    <a:pt x="312" y="492"/>
                  </a:lnTo>
                  <a:lnTo>
                    <a:pt x="324" y="480"/>
                  </a:lnTo>
                  <a:lnTo>
                    <a:pt x="330" y="474"/>
                  </a:lnTo>
                  <a:lnTo>
                    <a:pt x="336" y="462"/>
                  </a:lnTo>
                  <a:lnTo>
                    <a:pt x="348" y="450"/>
                  </a:lnTo>
                  <a:lnTo>
                    <a:pt x="354" y="444"/>
                  </a:lnTo>
                  <a:lnTo>
                    <a:pt x="360" y="432"/>
                  </a:lnTo>
                  <a:lnTo>
                    <a:pt x="372" y="420"/>
                  </a:lnTo>
                  <a:lnTo>
                    <a:pt x="378" y="414"/>
                  </a:lnTo>
                  <a:lnTo>
                    <a:pt x="384" y="402"/>
                  </a:lnTo>
                  <a:lnTo>
                    <a:pt x="396" y="390"/>
                  </a:lnTo>
                  <a:lnTo>
                    <a:pt x="402" y="378"/>
                  </a:lnTo>
                  <a:lnTo>
                    <a:pt x="408" y="372"/>
                  </a:lnTo>
                  <a:lnTo>
                    <a:pt x="420" y="360"/>
                  </a:lnTo>
                  <a:lnTo>
                    <a:pt x="426" y="348"/>
                  </a:lnTo>
                  <a:lnTo>
                    <a:pt x="432" y="336"/>
                  </a:lnTo>
                  <a:lnTo>
                    <a:pt x="444" y="324"/>
                  </a:lnTo>
                  <a:lnTo>
                    <a:pt x="450" y="318"/>
                  </a:lnTo>
                  <a:lnTo>
                    <a:pt x="456" y="306"/>
                  </a:lnTo>
                  <a:lnTo>
                    <a:pt x="468" y="294"/>
                  </a:lnTo>
                  <a:lnTo>
                    <a:pt x="474" y="282"/>
                  </a:lnTo>
                  <a:lnTo>
                    <a:pt x="486" y="270"/>
                  </a:lnTo>
                  <a:lnTo>
                    <a:pt x="492" y="258"/>
                  </a:lnTo>
                  <a:lnTo>
                    <a:pt x="498" y="252"/>
                  </a:lnTo>
                  <a:lnTo>
                    <a:pt x="510" y="240"/>
                  </a:lnTo>
                  <a:lnTo>
                    <a:pt x="516" y="228"/>
                  </a:lnTo>
                  <a:lnTo>
                    <a:pt x="522" y="216"/>
                  </a:lnTo>
                  <a:lnTo>
                    <a:pt x="534" y="210"/>
                  </a:lnTo>
                  <a:lnTo>
                    <a:pt x="540" y="198"/>
                  </a:lnTo>
                  <a:lnTo>
                    <a:pt x="546" y="186"/>
                  </a:lnTo>
                  <a:lnTo>
                    <a:pt x="558" y="174"/>
                  </a:lnTo>
                  <a:lnTo>
                    <a:pt x="564" y="168"/>
                  </a:lnTo>
                  <a:lnTo>
                    <a:pt x="570" y="156"/>
                  </a:lnTo>
                  <a:lnTo>
                    <a:pt x="582" y="150"/>
                  </a:lnTo>
                  <a:lnTo>
                    <a:pt x="588" y="138"/>
                  </a:lnTo>
                  <a:lnTo>
                    <a:pt x="594" y="126"/>
                  </a:lnTo>
                  <a:lnTo>
                    <a:pt x="606" y="120"/>
                  </a:lnTo>
                  <a:lnTo>
                    <a:pt x="612" y="114"/>
                  </a:lnTo>
                  <a:lnTo>
                    <a:pt x="618" y="102"/>
                  </a:lnTo>
                  <a:lnTo>
                    <a:pt x="630" y="96"/>
                  </a:lnTo>
                  <a:lnTo>
                    <a:pt x="636" y="84"/>
                  </a:lnTo>
                  <a:lnTo>
                    <a:pt x="642" y="78"/>
                  </a:lnTo>
                  <a:lnTo>
                    <a:pt x="654" y="72"/>
                  </a:lnTo>
                  <a:lnTo>
                    <a:pt x="660" y="66"/>
                  </a:lnTo>
                  <a:lnTo>
                    <a:pt x="672" y="60"/>
                  </a:lnTo>
                  <a:lnTo>
                    <a:pt x="678" y="54"/>
                  </a:lnTo>
                  <a:lnTo>
                    <a:pt x="684" y="48"/>
                  </a:lnTo>
                  <a:lnTo>
                    <a:pt x="696" y="42"/>
                  </a:lnTo>
                  <a:lnTo>
                    <a:pt x="702" y="36"/>
                  </a:lnTo>
                  <a:lnTo>
                    <a:pt x="708" y="30"/>
                  </a:lnTo>
                  <a:lnTo>
                    <a:pt x="720" y="24"/>
                  </a:lnTo>
                  <a:lnTo>
                    <a:pt x="726" y="18"/>
                  </a:lnTo>
                  <a:lnTo>
                    <a:pt x="732" y="18"/>
                  </a:lnTo>
                  <a:lnTo>
                    <a:pt x="744" y="12"/>
                  </a:lnTo>
                  <a:lnTo>
                    <a:pt x="750" y="12"/>
                  </a:lnTo>
                  <a:lnTo>
                    <a:pt x="756" y="6"/>
                  </a:lnTo>
                  <a:lnTo>
                    <a:pt x="768" y="6"/>
                  </a:lnTo>
                  <a:lnTo>
                    <a:pt x="774" y="0"/>
                  </a:lnTo>
                  <a:lnTo>
                    <a:pt x="780" y="0"/>
                  </a:lnTo>
                  <a:lnTo>
                    <a:pt x="792" y="0"/>
                  </a:lnTo>
                  <a:lnTo>
                    <a:pt x="798" y="0"/>
                  </a:lnTo>
                  <a:lnTo>
                    <a:pt x="804" y="0"/>
                  </a:lnTo>
                  <a:lnTo>
                    <a:pt x="816" y="0"/>
                  </a:lnTo>
                  <a:lnTo>
                    <a:pt x="822" y="0"/>
                  </a:lnTo>
                  <a:lnTo>
                    <a:pt x="828" y="0"/>
                  </a:lnTo>
                  <a:lnTo>
                    <a:pt x="840" y="0"/>
                  </a:lnTo>
                  <a:lnTo>
                    <a:pt x="846" y="6"/>
                  </a:lnTo>
                  <a:lnTo>
                    <a:pt x="858" y="6"/>
                  </a:lnTo>
                  <a:lnTo>
                    <a:pt x="864" y="12"/>
                  </a:lnTo>
                  <a:lnTo>
                    <a:pt x="870" y="12"/>
                  </a:lnTo>
                  <a:lnTo>
                    <a:pt x="882" y="18"/>
                  </a:lnTo>
                  <a:lnTo>
                    <a:pt x="888" y="18"/>
                  </a:lnTo>
                  <a:lnTo>
                    <a:pt x="894" y="24"/>
                  </a:lnTo>
                  <a:lnTo>
                    <a:pt x="906" y="30"/>
                  </a:lnTo>
                  <a:lnTo>
                    <a:pt x="912" y="36"/>
                  </a:lnTo>
                  <a:lnTo>
                    <a:pt x="918" y="42"/>
                  </a:lnTo>
                  <a:lnTo>
                    <a:pt x="930" y="48"/>
                  </a:lnTo>
                  <a:lnTo>
                    <a:pt x="936" y="54"/>
                  </a:lnTo>
                  <a:lnTo>
                    <a:pt x="942" y="60"/>
                  </a:lnTo>
                  <a:lnTo>
                    <a:pt x="954" y="66"/>
                  </a:lnTo>
                  <a:lnTo>
                    <a:pt x="960" y="72"/>
                  </a:lnTo>
                  <a:lnTo>
                    <a:pt x="966" y="78"/>
                  </a:lnTo>
                  <a:lnTo>
                    <a:pt x="978" y="84"/>
                  </a:lnTo>
                  <a:lnTo>
                    <a:pt x="984" y="96"/>
                  </a:lnTo>
                  <a:lnTo>
                    <a:pt x="990" y="102"/>
                  </a:lnTo>
                  <a:lnTo>
                    <a:pt x="1002" y="114"/>
                  </a:lnTo>
                  <a:lnTo>
                    <a:pt x="1008" y="120"/>
                  </a:lnTo>
                  <a:lnTo>
                    <a:pt x="1014" y="126"/>
                  </a:lnTo>
                  <a:lnTo>
                    <a:pt x="1026" y="138"/>
                  </a:lnTo>
                  <a:lnTo>
                    <a:pt x="1032" y="150"/>
                  </a:lnTo>
                  <a:lnTo>
                    <a:pt x="1044" y="156"/>
                  </a:lnTo>
                  <a:lnTo>
                    <a:pt x="1050" y="168"/>
                  </a:lnTo>
                  <a:lnTo>
                    <a:pt x="1056" y="174"/>
                  </a:lnTo>
                  <a:lnTo>
                    <a:pt x="1068" y="186"/>
                  </a:lnTo>
                  <a:lnTo>
                    <a:pt x="1074" y="198"/>
                  </a:lnTo>
                  <a:lnTo>
                    <a:pt x="1080" y="210"/>
                  </a:lnTo>
                  <a:lnTo>
                    <a:pt x="1092" y="216"/>
                  </a:lnTo>
                  <a:lnTo>
                    <a:pt x="1098" y="228"/>
                  </a:lnTo>
                  <a:lnTo>
                    <a:pt x="1104" y="240"/>
                  </a:lnTo>
                  <a:lnTo>
                    <a:pt x="1116" y="252"/>
                  </a:lnTo>
                  <a:lnTo>
                    <a:pt x="1122" y="258"/>
                  </a:lnTo>
                  <a:lnTo>
                    <a:pt x="1128" y="270"/>
                  </a:lnTo>
                  <a:lnTo>
                    <a:pt x="1140" y="282"/>
                  </a:lnTo>
                  <a:lnTo>
                    <a:pt x="1146" y="294"/>
                  </a:lnTo>
                  <a:lnTo>
                    <a:pt x="1152" y="306"/>
                  </a:lnTo>
                  <a:lnTo>
                    <a:pt x="1164" y="318"/>
                  </a:lnTo>
                  <a:lnTo>
                    <a:pt x="1170" y="324"/>
                  </a:lnTo>
                  <a:lnTo>
                    <a:pt x="1176" y="336"/>
                  </a:lnTo>
                  <a:lnTo>
                    <a:pt x="1188" y="348"/>
                  </a:lnTo>
                  <a:lnTo>
                    <a:pt x="1194" y="360"/>
                  </a:lnTo>
                  <a:lnTo>
                    <a:pt x="1200" y="372"/>
                  </a:lnTo>
                  <a:lnTo>
                    <a:pt x="1212" y="378"/>
                  </a:lnTo>
                  <a:lnTo>
                    <a:pt x="1218" y="390"/>
                  </a:lnTo>
                  <a:lnTo>
                    <a:pt x="1230" y="402"/>
                  </a:lnTo>
                  <a:lnTo>
                    <a:pt x="1236" y="414"/>
                  </a:lnTo>
                  <a:lnTo>
                    <a:pt x="1242" y="420"/>
                  </a:lnTo>
                  <a:lnTo>
                    <a:pt x="1254" y="432"/>
                  </a:lnTo>
                  <a:lnTo>
                    <a:pt x="1260" y="444"/>
                  </a:lnTo>
                  <a:lnTo>
                    <a:pt x="1266" y="450"/>
                  </a:lnTo>
                  <a:lnTo>
                    <a:pt x="1278" y="462"/>
                  </a:lnTo>
                  <a:lnTo>
                    <a:pt x="1284" y="474"/>
                  </a:lnTo>
                  <a:lnTo>
                    <a:pt x="1290" y="480"/>
                  </a:lnTo>
                  <a:lnTo>
                    <a:pt x="1302" y="492"/>
                  </a:lnTo>
                  <a:lnTo>
                    <a:pt x="1308" y="498"/>
                  </a:lnTo>
                  <a:lnTo>
                    <a:pt x="1314" y="510"/>
                  </a:lnTo>
                  <a:lnTo>
                    <a:pt x="1326" y="516"/>
                  </a:lnTo>
                  <a:lnTo>
                    <a:pt x="1332" y="528"/>
                  </a:lnTo>
                  <a:lnTo>
                    <a:pt x="1338" y="534"/>
                  </a:lnTo>
                  <a:lnTo>
                    <a:pt x="1350" y="546"/>
                  </a:lnTo>
                  <a:lnTo>
                    <a:pt x="1356" y="552"/>
                  </a:lnTo>
                  <a:lnTo>
                    <a:pt x="1362" y="558"/>
                  </a:lnTo>
                  <a:lnTo>
                    <a:pt x="1374" y="570"/>
                  </a:lnTo>
                  <a:lnTo>
                    <a:pt x="1380" y="576"/>
                  </a:lnTo>
                  <a:lnTo>
                    <a:pt x="1386" y="582"/>
                  </a:lnTo>
                  <a:lnTo>
                    <a:pt x="1398" y="588"/>
                  </a:lnTo>
                  <a:lnTo>
                    <a:pt x="1404" y="600"/>
                  </a:lnTo>
                  <a:lnTo>
                    <a:pt x="1416" y="606"/>
                  </a:lnTo>
                  <a:lnTo>
                    <a:pt x="1422" y="612"/>
                  </a:lnTo>
                  <a:lnTo>
                    <a:pt x="1428" y="618"/>
                  </a:lnTo>
                  <a:lnTo>
                    <a:pt x="1440" y="624"/>
                  </a:lnTo>
                  <a:lnTo>
                    <a:pt x="1446" y="630"/>
                  </a:lnTo>
                  <a:lnTo>
                    <a:pt x="1452" y="636"/>
                  </a:lnTo>
                  <a:lnTo>
                    <a:pt x="1464" y="642"/>
                  </a:lnTo>
                  <a:lnTo>
                    <a:pt x="1470" y="648"/>
                  </a:lnTo>
                  <a:lnTo>
                    <a:pt x="1476" y="654"/>
                  </a:lnTo>
                  <a:lnTo>
                    <a:pt x="1488" y="660"/>
                  </a:lnTo>
                  <a:lnTo>
                    <a:pt x="1494" y="666"/>
                  </a:lnTo>
                  <a:lnTo>
                    <a:pt x="1500" y="672"/>
                  </a:lnTo>
                  <a:lnTo>
                    <a:pt x="1512" y="672"/>
                  </a:lnTo>
                  <a:lnTo>
                    <a:pt x="1518" y="678"/>
                  </a:lnTo>
                  <a:lnTo>
                    <a:pt x="1524" y="684"/>
                  </a:lnTo>
                  <a:lnTo>
                    <a:pt x="1536" y="690"/>
                  </a:lnTo>
                  <a:lnTo>
                    <a:pt x="1542" y="690"/>
                  </a:lnTo>
                  <a:lnTo>
                    <a:pt x="1548" y="696"/>
                  </a:lnTo>
                  <a:lnTo>
                    <a:pt x="1560" y="702"/>
                  </a:lnTo>
                  <a:lnTo>
                    <a:pt x="1566" y="702"/>
                  </a:lnTo>
                  <a:lnTo>
                    <a:pt x="1572" y="708"/>
                  </a:lnTo>
                  <a:lnTo>
                    <a:pt x="1584" y="708"/>
                  </a:lnTo>
                  <a:lnTo>
                    <a:pt x="1590" y="714"/>
                  </a:lnTo>
                  <a:lnTo>
                    <a:pt x="1602" y="714"/>
                  </a:lnTo>
                  <a:lnTo>
                    <a:pt x="1608" y="720"/>
                  </a:lnTo>
                  <a:lnTo>
                    <a:pt x="1614" y="720"/>
                  </a:lnTo>
                </a:path>
              </a:pathLst>
            </a:custGeom>
            <a:noFill/>
            <a:ln w="2540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99" name="Line 6">
              <a:extLst>
                <a:ext uri="{FF2B5EF4-FFF2-40B4-BE49-F238E27FC236}">
                  <a16:creationId xmlns:a16="http://schemas.microsoft.com/office/drawing/2014/main" id="{FEFB5DB3-DA5C-4120-90F7-84E90A582D7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52" y="2478"/>
              <a:ext cx="0" cy="744"/>
            </a:xfrm>
            <a:prstGeom prst="line">
              <a:avLst/>
            </a:prstGeom>
            <a:noFill/>
            <a:ln w="31750">
              <a:solidFill>
                <a:srgbClr val="FF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00" name="Line 7">
              <a:extLst>
                <a:ext uri="{FF2B5EF4-FFF2-40B4-BE49-F238E27FC236}">
                  <a16:creationId xmlns:a16="http://schemas.microsoft.com/office/drawing/2014/main" id="{61D02FAF-3432-BD6A-8C04-35FBE5BC3C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9" y="2478"/>
              <a:ext cx="0" cy="747"/>
            </a:xfrm>
            <a:prstGeom prst="line">
              <a:avLst/>
            </a:prstGeom>
            <a:noFill/>
            <a:ln w="19050">
              <a:solidFill>
                <a:srgbClr val="0C257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01" name="Freeform 8">
              <a:extLst>
                <a:ext uri="{FF2B5EF4-FFF2-40B4-BE49-F238E27FC236}">
                  <a16:creationId xmlns:a16="http://schemas.microsoft.com/office/drawing/2014/main" id="{1E81D9CA-843C-3BF8-FA73-231C83D1C5C1}"/>
                </a:ext>
              </a:extLst>
            </xdr:cNvPr>
            <xdr:cNvSpPr>
              <a:spLocks/>
            </xdr:cNvSpPr>
          </xdr:nvSpPr>
          <xdr:spPr bwMode="auto">
            <a:xfrm>
              <a:off x="1462" y="3024"/>
              <a:ext cx="237" cy="200"/>
            </a:xfrm>
            <a:custGeom>
              <a:avLst/>
              <a:gdLst>
                <a:gd name="T0" fmla="*/ 2 w 189"/>
                <a:gd name="T1" fmla="*/ 124 h 126"/>
                <a:gd name="T2" fmla="*/ 0 w 189"/>
                <a:gd name="T3" fmla="*/ 0 h 126"/>
                <a:gd name="T4" fmla="*/ 23 w 189"/>
                <a:gd name="T5" fmla="*/ 22 h 126"/>
                <a:gd name="T6" fmla="*/ 59 w 189"/>
                <a:gd name="T7" fmla="*/ 52 h 126"/>
                <a:gd name="T8" fmla="*/ 96 w 189"/>
                <a:gd name="T9" fmla="*/ 79 h 126"/>
                <a:gd name="T10" fmla="*/ 138 w 189"/>
                <a:gd name="T11" fmla="*/ 103 h 126"/>
                <a:gd name="T12" fmla="*/ 167 w 189"/>
                <a:gd name="T13" fmla="*/ 115 h 126"/>
                <a:gd name="T14" fmla="*/ 189 w 189"/>
                <a:gd name="T15" fmla="*/ 126 h 126"/>
                <a:gd name="T16" fmla="*/ 2 w 189"/>
                <a:gd name="T17" fmla="*/ 124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89"/>
                <a:gd name="T28" fmla="*/ 0 h 126"/>
                <a:gd name="T29" fmla="*/ 189 w 189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89" h="126">
                  <a:moveTo>
                    <a:pt x="2" y="124"/>
                  </a:moveTo>
                  <a:lnTo>
                    <a:pt x="0" y="0"/>
                  </a:lnTo>
                  <a:lnTo>
                    <a:pt x="23" y="22"/>
                  </a:lnTo>
                  <a:lnTo>
                    <a:pt x="59" y="52"/>
                  </a:lnTo>
                  <a:lnTo>
                    <a:pt x="96" y="79"/>
                  </a:lnTo>
                  <a:lnTo>
                    <a:pt x="138" y="103"/>
                  </a:lnTo>
                  <a:lnTo>
                    <a:pt x="167" y="115"/>
                  </a:lnTo>
                  <a:lnTo>
                    <a:pt x="189" y="126"/>
                  </a:lnTo>
                  <a:lnTo>
                    <a:pt x="2" y="124"/>
                  </a:lnTo>
                  <a:close/>
                </a:path>
              </a:pathLst>
            </a:custGeom>
            <a:solidFill>
              <a:srgbClr val="80808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14:hiddenLine>
              </a:ext>
            </a:extLst>
          </xdr:spPr>
        </xdr:sp>
      </xdr:grpSp>
      <xdr:sp macro="" textlink="">
        <xdr:nvSpPr>
          <xdr:cNvPr id="3081" name="Text Box 9">
            <a:extLst>
              <a:ext uri="{FF2B5EF4-FFF2-40B4-BE49-F238E27FC236}">
                <a16:creationId xmlns:a16="http://schemas.microsoft.com/office/drawing/2014/main" id="{B4C95E27-F439-BADA-3B8D-C15F27848A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5" y="11"/>
            <a:ext cx="48" cy="5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4572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3366"/>
                </a:solidFill>
                <a:latin typeface="Tahoma"/>
                <a:ea typeface="Tahoma"/>
                <a:cs typeface="Tahoma"/>
              </a:rPr>
              <a:t>“Z”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3366"/>
              </a:solidFill>
              <a:latin typeface="Tahoma"/>
              <a:ea typeface="Tahoma"/>
              <a:cs typeface="Tahoma"/>
            </a:endParaRPr>
          </a:p>
        </xdr:txBody>
      </xdr:sp>
    </xdr:grpSp>
    <xdr:clientData/>
  </xdr:twoCellAnchor>
  <xdr:twoCellAnchor editAs="oneCell">
    <xdr:from>
      <xdr:col>1</xdr:col>
      <xdr:colOff>9525</xdr:colOff>
      <xdr:row>1</xdr:row>
      <xdr:rowOff>9525</xdr:rowOff>
    </xdr:from>
    <xdr:to>
      <xdr:col>3</xdr:col>
      <xdr:colOff>1876425</xdr:colOff>
      <xdr:row>1</xdr:row>
      <xdr:rowOff>476250</xdr:rowOff>
    </xdr:to>
    <xdr:pic>
      <xdr:nvPicPr>
        <xdr:cNvPr id="3093" name="Picture 19" descr="20100414 Low Res RGB">
          <a:extLst>
            <a:ext uri="{FF2B5EF4-FFF2-40B4-BE49-F238E27FC236}">
              <a16:creationId xmlns:a16="http://schemas.microsoft.com/office/drawing/2014/main" id="{22608E49-BFB8-546E-237C-F71410A2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41624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104775</xdr:rowOff>
    </xdr:from>
    <xdr:to>
      <xdr:col>5</xdr:col>
      <xdr:colOff>1562100</xdr:colOff>
      <xdr:row>2</xdr:row>
      <xdr:rowOff>438150</xdr:rowOff>
    </xdr:to>
    <xdr:grpSp>
      <xdr:nvGrpSpPr>
        <xdr:cNvPr id="6163" name="Group 1">
          <a:extLst>
            <a:ext uri="{FF2B5EF4-FFF2-40B4-BE49-F238E27FC236}">
              <a16:creationId xmlns:a16="http://schemas.microsoft.com/office/drawing/2014/main" id="{963DCB3D-F344-DB4A-76CE-33326B7E5A3D}"/>
            </a:ext>
          </a:extLst>
        </xdr:cNvPr>
        <xdr:cNvGrpSpPr>
          <a:grpSpLocks/>
        </xdr:cNvGrpSpPr>
      </xdr:nvGrpSpPr>
      <xdr:grpSpPr bwMode="auto">
        <a:xfrm>
          <a:off x="4386943" y="118382"/>
          <a:ext cx="3148693" cy="796018"/>
          <a:chOff x="458" y="11"/>
          <a:chExt cx="331" cy="114"/>
        </a:xfrm>
      </xdr:grpSpPr>
      <xdr:grpSp>
        <xdr:nvGrpSpPr>
          <xdr:cNvPr id="6165" name="Group 2">
            <a:extLst>
              <a:ext uri="{FF2B5EF4-FFF2-40B4-BE49-F238E27FC236}">
                <a16:creationId xmlns:a16="http://schemas.microsoft.com/office/drawing/2014/main" id="{B52F13A5-7D52-9F59-58A9-57C9C6BB9F11}"/>
              </a:ext>
            </a:extLst>
          </xdr:cNvPr>
          <xdr:cNvGrpSpPr>
            <a:grpSpLocks/>
          </xdr:cNvGrpSpPr>
        </xdr:nvGrpSpPr>
        <xdr:grpSpPr bwMode="auto">
          <a:xfrm>
            <a:off x="458" y="32"/>
            <a:ext cx="331" cy="93"/>
            <a:chOff x="398" y="2478"/>
            <a:chExt cx="1407" cy="747"/>
          </a:xfrm>
        </xdr:grpSpPr>
        <xdr:sp macro="" textlink="">
          <xdr:nvSpPr>
            <xdr:cNvPr id="6167" name="Line 3">
              <a:extLst>
                <a:ext uri="{FF2B5EF4-FFF2-40B4-BE49-F238E27FC236}">
                  <a16:creationId xmlns:a16="http://schemas.microsoft.com/office/drawing/2014/main" id="{2DEA7A5F-6821-70A7-28E9-06B1690A95E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99" y="2523"/>
              <a:ext cx="351" cy="0"/>
            </a:xfrm>
            <a:prstGeom prst="line">
              <a:avLst/>
            </a:prstGeom>
            <a:noFill/>
            <a:ln w="9525">
              <a:solidFill>
                <a:srgbClr val="0C2577"/>
              </a:solidFill>
              <a:round/>
              <a:headEnd type="stealth" w="lg" len="lg"/>
              <a:tailEnd type="stealth" w="lg" len="lg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68" name="Line 4">
              <a:extLst>
                <a:ext uri="{FF2B5EF4-FFF2-40B4-BE49-F238E27FC236}">
                  <a16:creationId xmlns:a16="http://schemas.microsoft.com/office/drawing/2014/main" id="{027DAF3D-AC39-4203-62F2-4E793A6C187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8" y="3225"/>
              <a:ext cx="1407" cy="0"/>
            </a:xfrm>
            <a:prstGeom prst="line">
              <a:avLst/>
            </a:prstGeom>
            <a:noFill/>
            <a:ln w="9525">
              <a:solidFill>
                <a:srgbClr val="0C257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69" name="Freeform 5">
              <a:extLst>
                <a:ext uri="{FF2B5EF4-FFF2-40B4-BE49-F238E27FC236}">
                  <a16:creationId xmlns:a16="http://schemas.microsoft.com/office/drawing/2014/main" id="{EA916723-B36E-4D79-BECD-D779FD03A161}"/>
                </a:ext>
              </a:extLst>
            </xdr:cNvPr>
            <xdr:cNvSpPr>
              <a:spLocks/>
            </xdr:cNvSpPr>
          </xdr:nvSpPr>
          <xdr:spPr bwMode="auto">
            <a:xfrm>
              <a:off x="479" y="2646"/>
              <a:ext cx="1244" cy="570"/>
            </a:xfrm>
            <a:custGeom>
              <a:avLst/>
              <a:gdLst>
                <a:gd name="T0" fmla="*/ 24 w 1614"/>
                <a:gd name="T1" fmla="*/ 714 h 720"/>
                <a:gd name="T2" fmla="*/ 54 w 1614"/>
                <a:gd name="T3" fmla="*/ 702 h 720"/>
                <a:gd name="T4" fmla="*/ 84 w 1614"/>
                <a:gd name="T5" fmla="*/ 684 h 720"/>
                <a:gd name="T6" fmla="*/ 120 w 1614"/>
                <a:gd name="T7" fmla="*/ 666 h 720"/>
                <a:gd name="T8" fmla="*/ 150 w 1614"/>
                <a:gd name="T9" fmla="*/ 642 h 720"/>
                <a:gd name="T10" fmla="*/ 186 w 1614"/>
                <a:gd name="T11" fmla="*/ 618 h 720"/>
                <a:gd name="T12" fmla="*/ 216 w 1614"/>
                <a:gd name="T13" fmla="*/ 588 h 720"/>
                <a:gd name="T14" fmla="*/ 246 w 1614"/>
                <a:gd name="T15" fmla="*/ 558 h 720"/>
                <a:gd name="T16" fmla="*/ 282 w 1614"/>
                <a:gd name="T17" fmla="*/ 528 h 720"/>
                <a:gd name="T18" fmla="*/ 312 w 1614"/>
                <a:gd name="T19" fmla="*/ 492 h 720"/>
                <a:gd name="T20" fmla="*/ 348 w 1614"/>
                <a:gd name="T21" fmla="*/ 450 h 720"/>
                <a:gd name="T22" fmla="*/ 378 w 1614"/>
                <a:gd name="T23" fmla="*/ 414 h 720"/>
                <a:gd name="T24" fmla="*/ 408 w 1614"/>
                <a:gd name="T25" fmla="*/ 372 h 720"/>
                <a:gd name="T26" fmla="*/ 444 w 1614"/>
                <a:gd name="T27" fmla="*/ 324 h 720"/>
                <a:gd name="T28" fmla="*/ 474 w 1614"/>
                <a:gd name="T29" fmla="*/ 282 h 720"/>
                <a:gd name="T30" fmla="*/ 510 w 1614"/>
                <a:gd name="T31" fmla="*/ 240 h 720"/>
                <a:gd name="T32" fmla="*/ 540 w 1614"/>
                <a:gd name="T33" fmla="*/ 198 h 720"/>
                <a:gd name="T34" fmla="*/ 570 w 1614"/>
                <a:gd name="T35" fmla="*/ 156 h 720"/>
                <a:gd name="T36" fmla="*/ 606 w 1614"/>
                <a:gd name="T37" fmla="*/ 120 h 720"/>
                <a:gd name="T38" fmla="*/ 636 w 1614"/>
                <a:gd name="T39" fmla="*/ 84 h 720"/>
                <a:gd name="T40" fmla="*/ 672 w 1614"/>
                <a:gd name="T41" fmla="*/ 60 h 720"/>
                <a:gd name="T42" fmla="*/ 702 w 1614"/>
                <a:gd name="T43" fmla="*/ 36 h 720"/>
                <a:gd name="T44" fmla="*/ 732 w 1614"/>
                <a:gd name="T45" fmla="*/ 18 h 720"/>
                <a:gd name="T46" fmla="*/ 768 w 1614"/>
                <a:gd name="T47" fmla="*/ 6 h 720"/>
                <a:gd name="T48" fmla="*/ 798 w 1614"/>
                <a:gd name="T49" fmla="*/ 0 h 720"/>
                <a:gd name="T50" fmla="*/ 828 w 1614"/>
                <a:gd name="T51" fmla="*/ 0 h 720"/>
                <a:gd name="T52" fmla="*/ 864 w 1614"/>
                <a:gd name="T53" fmla="*/ 12 h 720"/>
                <a:gd name="T54" fmla="*/ 894 w 1614"/>
                <a:gd name="T55" fmla="*/ 24 h 720"/>
                <a:gd name="T56" fmla="*/ 930 w 1614"/>
                <a:gd name="T57" fmla="*/ 48 h 720"/>
                <a:gd name="T58" fmla="*/ 960 w 1614"/>
                <a:gd name="T59" fmla="*/ 72 h 720"/>
                <a:gd name="T60" fmla="*/ 990 w 1614"/>
                <a:gd name="T61" fmla="*/ 102 h 720"/>
                <a:gd name="T62" fmla="*/ 1026 w 1614"/>
                <a:gd name="T63" fmla="*/ 138 h 720"/>
                <a:gd name="T64" fmla="*/ 1056 w 1614"/>
                <a:gd name="T65" fmla="*/ 174 h 720"/>
                <a:gd name="T66" fmla="*/ 1092 w 1614"/>
                <a:gd name="T67" fmla="*/ 216 h 720"/>
                <a:gd name="T68" fmla="*/ 1122 w 1614"/>
                <a:gd name="T69" fmla="*/ 258 h 720"/>
                <a:gd name="T70" fmla="*/ 1152 w 1614"/>
                <a:gd name="T71" fmla="*/ 306 h 720"/>
                <a:gd name="T72" fmla="*/ 1188 w 1614"/>
                <a:gd name="T73" fmla="*/ 348 h 720"/>
                <a:gd name="T74" fmla="*/ 1218 w 1614"/>
                <a:gd name="T75" fmla="*/ 390 h 720"/>
                <a:gd name="T76" fmla="*/ 1254 w 1614"/>
                <a:gd name="T77" fmla="*/ 432 h 720"/>
                <a:gd name="T78" fmla="*/ 1284 w 1614"/>
                <a:gd name="T79" fmla="*/ 474 h 720"/>
                <a:gd name="T80" fmla="*/ 1314 w 1614"/>
                <a:gd name="T81" fmla="*/ 510 h 720"/>
                <a:gd name="T82" fmla="*/ 1350 w 1614"/>
                <a:gd name="T83" fmla="*/ 546 h 720"/>
                <a:gd name="T84" fmla="*/ 1380 w 1614"/>
                <a:gd name="T85" fmla="*/ 576 h 720"/>
                <a:gd name="T86" fmla="*/ 1416 w 1614"/>
                <a:gd name="T87" fmla="*/ 606 h 720"/>
                <a:gd name="T88" fmla="*/ 1446 w 1614"/>
                <a:gd name="T89" fmla="*/ 630 h 720"/>
                <a:gd name="T90" fmla="*/ 1476 w 1614"/>
                <a:gd name="T91" fmla="*/ 654 h 720"/>
                <a:gd name="T92" fmla="*/ 1512 w 1614"/>
                <a:gd name="T93" fmla="*/ 672 h 720"/>
                <a:gd name="T94" fmla="*/ 1542 w 1614"/>
                <a:gd name="T95" fmla="*/ 690 h 720"/>
                <a:gd name="T96" fmla="*/ 1572 w 1614"/>
                <a:gd name="T97" fmla="*/ 708 h 720"/>
                <a:gd name="T98" fmla="*/ 1608 w 1614"/>
                <a:gd name="T99" fmla="*/ 720 h 720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w 1614"/>
                <a:gd name="T151" fmla="*/ 0 h 720"/>
                <a:gd name="T152" fmla="*/ 1614 w 1614"/>
                <a:gd name="T153" fmla="*/ 720 h 720"/>
              </a:gdLst>
              <a:ahLst/>
              <a:cxnLst>
                <a:cxn ang="T100">
                  <a:pos x="T0" y="T1"/>
                </a:cxn>
                <a:cxn ang="T101">
                  <a:pos x="T2" y="T3"/>
                </a:cxn>
                <a:cxn ang="T102">
                  <a:pos x="T4" y="T5"/>
                </a:cxn>
                <a:cxn ang="T103">
                  <a:pos x="T6" y="T7"/>
                </a:cxn>
                <a:cxn ang="T104">
                  <a:pos x="T8" y="T9"/>
                </a:cxn>
                <a:cxn ang="T105">
                  <a:pos x="T10" y="T11"/>
                </a:cxn>
                <a:cxn ang="T106">
                  <a:pos x="T12" y="T13"/>
                </a:cxn>
                <a:cxn ang="T107">
                  <a:pos x="T14" y="T15"/>
                </a:cxn>
                <a:cxn ang="T108">
                  <a:pos x="T16" y="T17"/>
                </a:cxn>
                <a:cxn ang="T109">
                  <a:pos x="T18" y="T19"/>
                </a:cxn>
                <a:cxn ang="T110">
                  <a:pos x="T20" y="T21"/>
                </a:cxn>
                <a:cxn ang="T111">
                  <a:pos x="T22" y="T23"/>
                </a:cxn>
                <a:cxn ang="T112">
                  <a:pos x="T24" y="T25"/>
                </a:cxn>
                <a:cxn ang="T113">
                  <a:pos x="T26" y="T27"/>
                </a:cxn>
                <a:cxn ang="T114">
                  <a:pos x="T28" y="T29"/>
                </a:cxn>
                <a:cxn ang="T115">
                  <a:pos x="T30" y="T31"/>
                </a:cxn>
                <a:cxn ang="T116">
                  <a:pos x="T32" y="T33"/>
                </a:cxn>
                <a:cxn ang="T117">
                  <a:pos x="T34" y="T35"/>
                </a:cxn>
                <a:cxn ang="T118">
                  <a:pos x="T36" y="T37"/>
                </a:cxn>
                <a:cxn ang="T119">
                  <a:pos x="T38" y="T39"/>
                </a:cxn>
                <a:cxn ang="T120">
                  <a:pos x="T40" y="T41"/>
                </a:cxn>
                <a:cxn ang="T121">
                  <a:pos x="T42" y="T43"/>
                </a:cxn>
                <a:cxn ang="T122">
                  <a:pos x="T44" y="T45"/>
                </a:cxn>
                <a:cxn ang="T123">
                  <a:pos x="T46" y="T47"/>
                </a:cxn>
                <a:cxn ang="T124">
                  <a:pos x="T48" y="T49"/>
                </a:cxn>
                <a:cxn ang="T125">
                  <a:pos x="T50" y="T51"/>
                </a:cxn>
                <a:cxn ang="T126">
                  <a:pos x="T52" y="T53"/>
                </a:cxn>
                <a:cxn ang="T127">
                  <a:pos x="T54" y="T55"/>
                </a:cxn>
                <a:cxn ang="T128">
                  <a:pos x="T56" y="T57"/>
                </a:cxn>
                <a:cxn ang="T129">
                  <a:pos x="T58" y="T59"/>
                </a:cxn>
                <a:cxn ang="T130">
                  <a:pos x="T60" y="T61"/>
                </a:cxn>
                <a:cxn ang="T131">
                  <a:pos x="T62" y="T63"/>
                </a:cxn>
                <a:cxn ang="T132">
                  <a:pos x="T64" y="T65"/>
                </a:cxn>
                <a:cxn ang="T133">
                  <a:pos x="T66" y="T67"/>
                </a:cxn>
                <a:cxn ang="T134">
                  <a:pos x="T68" y="T69"/>
                </a:cxn>
                <a:cxn ang="T135">
                  <a:pos x="T70" y="T71"/>
                </a:cxn>
                <a:cxn ang="T136">
                  <a:pos x="T72" y="T73"/>
                </a:cxn>
                <a:cxn ang="T137">
                  <a:pos x="T74" y="T75"/>
                </a:cxn>
                <a:cxn ang="T138">
                  <a:pos x="T76" y="T77"/>
                </a:cxn>
                <a:cxn ang="T139">
                  <a:pos x="T78" y="T79"/>
                </a:cxn>
                <a:cxn ang="T140">
                  <a:pos x="T80" y="T81"/>
                </a:cxn>
                <a:cxn ang="T141">
                  <a:pos x="T82" y="T83"/>
                </a:cxn>
                <a:cxn ang="T142">
                  <a:pos x="T84" y="T85"/>
                </a:cxn>
                <a:cxn ang="T143">
                  <a:pos x="T86" y="T87"/>
                </a:cxn>
                <a:cxn ang="T144">
                  <a:pos x="T88" y="T89"/>
                </a:cxn>
                <a:cxn ang="T145">
                  <a:pos x="T90" y="T91"/>
                </a:cxn>
                <a:cxn ang="T146">
                  <a:pos x="T92" y="T93"/>
                </a:cxn>
                <a:cxn ang="T147">
                  <a:pos x="T94" y="T95"/>
                </a:cxn>
                <a:cxn ang="T148">
                  <a:pos x="T96" y="T97"/>
                </a:cxn>
                <a:cxn ang="T149">
                  <a:pos x="T98" y="T99"/>
                </a:cxn>
              </a:cxnLst>
              <a:rect l="T150" t="T151" r="T152" b="T153"/>
              <a:pathLst>
                <a:path w="1614" h="720">
                  <a:moveTo>
                    <a:pt x="0" y="720"/>
                  </a:moveTo>
                  <a:lnTo>
                    <a:pt x="6" y="720"/>
                  </a:lnTo>
                  <a:lnTo>
                    <a:pt x="12" y="714"/>
                  </a:lnTo>
                  <a:lnTo>
                    <a:pt x="24" y="714"/>
                  </a:lnTo>
                  <a:lnTo>
                    <a:pt x="30" y="708"/>
                  </a:lnTo>
                  <a:lnTo>
                    <a:pt x="36" y="708"/>
                  </a:lnTo>
                  <a:lnTo>
                    <a:pt x="48" y="702"/>
                  </a:lnTo>
                  <a:lnTo>
                    <a:pt x="54" y="702"/>
                  </a:lnTo>
                  <a:lnTo>
                    <a:pt x="60" y="696"/>
                  </a:lnTo>
                  <a:lnTo>
                    <a:pt x="72" y="690"/>
                  </a:lnTo>
                  <a:lnTo>
                    <a:pt x="78" y="690"/>
                  </a:lnTo>
                  <a:lnTo>
                    <a:pt x="84" y="684"/>
                  </a:lnTo>
                  <a:lnTo>
                    <a:pt x="96" y="678"/>
                  </a:lnTo>
                  <a:lnTo>
                    <a:pt x="102" y="672"/>
                  </a:lnTo>
                  <a:lnTo>
                    <a:pt x="114" y="672"/>
                  </a:lnTo>
                  <a:lnTo>
                    <a:pt x="120" y="666"/>
                  </a:lnTo>
                  <a:lnTo>
                    <a:pt x="126" y="660"/>
                  </a:lnTo>
                  <a:lnTo>
                    <a:pt x="138" y="654"/>
                  </a:lnTo>
                  <a:lnTo>
                    <a:pt x="144" y="648"/>
                  </a:lnTo>
                  <a:lnTo>
                    <a:pt x="150" y="642"/>
                  </a:lnTo>
                  <a:lnTo>
                    <a:pt x="162" y="636"/>
                  </a:lnTo>
                  <a:lnTo>
                    <a:pt x="168" y="630"/>
                  </a:lnTo>
                  <a:lnTo>
                    <a:pt x="174" y="624"/>
                  </a:lnTo>
                  <a:lnTo>
                    <a:pt x="186" y="618"/>
                  </a:lnTo>
                  <a:lnTo>
                    <a:pt x="192" y="612"/>
                  </a:lnTo>
                  <a:lnTo>
                    <a:pt x="198" y="606"/>
                  </a:lnTo>
                  <a:lnTo>
                    <a:pt x="210" y="600"/>
                  </a:lnTo>
                  <a:lnTo>
                    <a:pt x="216" y="588"/>
                  </a:lnTo>
                  <a:lnTo>
                    <a:pt x="222" y="582"/>
                  </a:lnTo>
                  <a:lnTo>
                    <a:pt x="234" y="576"/>
                  </a:lnTo>
                  <a:lnTo>
                    <a:pt x="240" y="570"/>
                  </a:lnTo>
                  <a:lnTo>
                    <a:pt x="246" y="558"/>
                  </a:lnTo>
                  <a:lnTo>
                    <a:pt x="258" y="552"/>
                  </a:lnTo>
                  <a:lnTo>
                    <a:pt x="264" y="546"/>
                  </a:lnTo>
                  <a:lnTo>
                    <a:pt x="270" y="534"/>
                  </a:lnTo>
                  <a:lnTo>
                    <a:pt x="282" y="528"/>
                  </a:lnTo>
                  <a:lnTo>
                    <a:pt x="288" y="516"/>
                  </a:lnTo>
                  <a:lnTo>
                    <a:pt x="300" y="510"/>
                  </a:lnTo>
                  <a:lnTo>
                    <a:pt x="306" y="498"/>
                  </a:lnTo>
                  <a:lnTo>
                    <a:pt x="312" y="492"/>
                  </a:lnTo>
                  <a:lnTo>
                    <a:pt x="324" y="480"/>
                  </a:lnTo>
                  <a:lnTo>
                    <a:pt x="330" y="474"/>
                  </a:lnTo>
                  <a:lnTo>
                    <a:pt x="336" y="462"/>
                  </a:lnTo>
                  <a:lnTo>
                    <a:pt x="348" y="450"/>
                  </a:lnTo>
                  <a:lnTo>
                    <a:pt x="354" y="444"/>
                  </a:lnTo>
                  <a:lnTo>
                    <a:pt x="360" y="432"/>
                  </a:lnTo>
                  <a:lnTo>
                    <a:pt x="372" y="420"/>
                  </a:lnTo>
                  <a:lnTo>
                    <a:pt x="378" y="414"/>
                  </a:lnTo>
                  <a:lnTo>
                    <a:pt x="384" y="402"/>
                  </a:lnTo>
                  <a:lnTo>
                    <a:pt x="396" y="390"/>
                  </a:lnTo>
                  <a:lnTo>
                    <a:pt x="402" y="378"/>
                  </a:lnTo>
                  <a:lnTo>
                    <a:pt x="408" y="372"/>
                  </a:lnTo>
                  <a:lnTo>
                    <a:pt x="420" y="360"/>
                  </a:lnTo>
                  <a:lnTo>
                    <a:pt x="426" y="348"/>
                  </a:lnTo>
                  <a:lnTo>
                    <a:pt x="432" y="336"/>
                  </a:lnTo>
                  <a:lnTo>
                    <a:pt x="444" y="324"/>
                  </a:lnTo>
                  <a:lnTo>
                    <a:pt x="450" y="318"/>
                  </a:lnTo>
                  <a:lnTo>
                    <a:pt x="456" y="306"/>
                  </a:lnTo>
                  <a:lnTo>
                    <a:pt x="468" y="294"/>
                  </a:lnTo>
                  <a:lnTo>
                    <a:pt x="474" y="282"/>
                  </a:lnTo>
                  <a:lnTo>
                    <a:pt x="486" y="270"/>
                  </a:lnTo>
                  <a:lnTo>
                    <a:pt x="492" y="258"/>
                  </a:lnTo>
                  <a:lnTo>
                    <a:pt x="498" y="252"/>
                  </a:lnTo>
                  <a:lnTo>
                    <a:pt x="510" y="240"/>
                  </a:lnTo>
                  <a:lnTo>
                    <a:pt x="516" y="228"/>
                  </a:lnTo>
                  <a:lnTo>
                    <a:pt x="522" y="216"/>
                  </a:lnTo>
                  <a:lnTo>
                    <a:pt x="534" y="210"/>
                  </a:lnTo>
                  <a:lnTo>
                    <a:pt x="540" y="198"/>
                  </a:lnTo>
                  <a:lnTo>
                    <a:pt x="546" y="186"/>
                  </a:lnTo>
                  <a:lnTo>
                    <a:pt x="558" y="174"/>
                  </a:lnTo>
                  <a:lnTo>
                    <a:pt x="564" y="168"/>
                  </a:lnTo>
                  <a:lnTo>
                    <a:pt x="570" y="156"/>
                  </a:lnTo>
                  <a:lnTo>
                    <a:pt x="582" y="150"/>
                  </a:lnTo>
                  <a:lnTo>
                    <a:pt x="588" y="138"/>
                  </a:lnTo>
                  <a:lnTo>
                    <a:pt x="594" y="126"/>
                  </a:lnTo>
                  <a:lnTo>
                    <a:pt x="606" y="120"/>
                  </a:lnTo>
                  <a:lnTo>
                    <a:pt x="612" y="114"/>
                  </a:lnTo>
                  <a:lnTo>
                    <a:pt x="618" y="102"/>
                  </a:lnTo>
                  <a:lnTo>
                    <a:pt x="630" y="96"/>
                  </a:lnTo>
                  <a:lnTo>
                    <a:pt x="636" y="84"/>
                  </a:lnTo>
                  <a:lnTo>
                    <a:pt x="642" y="78"/>
                  </a:lnTo>
                  <a:lnTo>
                    <a:pt x="654" y="72"/>
                  </a:lnTo>
                  <a:lnTo>
                    <a:pt x="660" y="66"/>
                  </a:lnTo>
                  <a:lnTo>
                    <a:pt x="672" y="60"/>
                  </a:lnTo>
                  <a:lnTo>
                    <a:pt x="678" y="54"/>
                  </a:lnTo>
                  <a:lnTo>
                    <a:pt x="684" y="48"/>
                  </a:lnTo>
                  <a:lnTo>
                    <a:pt x="696" y="42"/>
                  </a:lnTo>
                  <a:lnTo>
                    <a:pt x="702" y="36"/>
                  </a:lnTo>
                  <a:lnTo>
                    <a:pt x="708" y="30"/>
                  </a:lnTo>
                  <a:lnTo>
                    <a:pt x="720" y="24"/>
                  </a:lnTo>
                  <a:lnTo>
                    <a:pt x="726" y="18"/>
                  </a:lnTo>
                  <a:lnTo>
                    <a:pt x="732" y="18"/>
                  </a:lnTo>
                  <a:lnTo>
                    <a:pt x="744" y="12"/>
                  </a:lnTo>
                  <a:lnTo>
                    <a:pt x="750" y="12"/>
                  </a:lnTo>
                  <a:lnTo>
                    <a:pt x="756" y="6"/>
                  </a:lnTo>
                  <a:lnTo>
                    <a:pt x="768" y="6"/>
                  </a:lnTo>
                  <a:lnTo>
                    <a:pt x="774" y="0"/>
                  </a:lnTo>
                  <a:lnTo>
                    <a:pt x="780" y="0"/>
                  </a:lnTo>
                  <a:lnTo>
                    <a:pt x="792" y="0"/>
                  </a:lnTo>
                  <a:lnTo>
                    <a:pt x="798" y="0"/>
                  </a:lnTo>
                  <a:lnTo>
                    <a:pt x="804" y="0"/>
                  </a:lnTo>
                  <a:lnTo>
                    <a:pt x="816" y="0"/>
                  </a:lnTo>
                  <a:lnTo>
                    <a:pt x="822" y="0"/>
                  </a:lnTo>
                  <a:lnTo>
                    <a:pt x="828" y="0"/>
                  </a:lnTo>
                  <a:lnTo>
                    <a:pt x="840" y="0"/>
                  </a:lnTo>
                  <a:lnTo>
                    <a:pt x="846" y="6"/>
                  </a:lnTo>
                  <a:lnTo>
                    <a:pt x="858" y="6"/>
                  </a:lnTo>
                  <a:lnTo>
                    <a:pt x="864" y="12"/>
                  </a:lnTo>
                  <a:lnTo>
                    <a:pt x="870" y="12"/>
                  </a:lnTo>
                  <a:lnTo>
                    <a:pt x="882" y="18"/>
                  </a:lnTo>
                  <a:lnTo>
                    <a:pt x="888" y="18"/>
                  </a:lnTo>
                  <a:lnTo>
                    <a:pt x="894" y="24"/>
                  </a:lnTo>
                  <a:lnTo>
                    <a:pt x="906" y="30"/>
                  </a:lnTo>
                  <a:lnTo>
                    <a:pt x="912" y="36"/>
                  </a:lnTo>
                  <a:lnTo>
                    <a:pt x="918" y="42"/>
                  </a:lnTo>
                  <a:lnTo>
                    <a:pt x="930" y="48"/>
                  </a:lnTo>
                  <a:lnTo>
                    <a:pt x="936" y="54"/>
                  </a:lnTo>
                  <a:lnTo>
                    <a:pt x="942" y="60"/>
                  </a:lnTo>
                  <a:lnTo>
                    <a:pt x="954" y="66"/>
                  </a:lnTo>
                  <a:lnTo>
                    <a:pt x="960" y="72"/>
                  </a:lnTo>
                  <a:lnTo>
                    <a:pt x="966" y="78"/>
                  </a:lnTo>
                  <a:lnTo>
                    <a:pt x="978" y="84"/>
                  </a:lnTo>
                  <a:lnTo>
                    <a:pt x="984" y="96"/>
                  </a:lnTo>
                  <a:lnTo>
                    <a:pt x="990" y="102"/>
                  </a:lnTo>
                  <a:lnTo>
                    <a:pt x="1002" y="114"/>
                  </a:lnTo>
                  <a:lnTo>
                    <a:pt x="1008" y="120"/>
                  </a:lnTo>
                  <a:lnTo>
                    <a:pt x="1014" y="126"/>
                  </a:lnTo>
                  <a:lnTo>
                    <a:pt x="1026" y="138"/>
                  </a:lnTo>
                  <a:lnTo>
                    <a:pt x="1032" y="150"/>
                  </a:lnTo>
                  <a:lnTo>
                    <a:pt x="1044" y="156"/>
                  </a:lnTo>
                  <a:lnTo>
                    <a:pt x="1050" y="168"/>
                  </a:lnTo>
                  <a:lnTo>
                    <a:pt x="1056" y="174"/>
                  </a:lnTo>
                  <a:lnTo>
                    <a:pt x="1068" y="186"/>
                  </a:lnTo>
                  <a:lnTo>
                    <a:pt x="1074" y="198"/>
                  </a:lnTo>
                  <a:lnTo>
                    <a:pt x="1080" y="210"/>
                  </a:lnTo>
                  <a:lnTo>
                    <a:pt x="1092" y="216"/>
                  </a:lnTo>
                  <a:lnTo>
                    <a:pt x="1098" y="228"/>
                  </a:lnTo>
                  <a:lnTo>
                    <a:pt x="1104" y="240"/>
                  </a:lnTo>
                  <a:lnTo>
                    <a:pt x="1116" y="252"/>
                  </a:lnTo>
                  <a:lnTo>
                    <a:pt x="1122" y="258"/>
                  </a:lnTo>
                  <a:lnTo>
                    <a:pt x="1128" y="270"/>
                  </a:lnTo>
                  <a:lnTo>
                    <a:pt x="1140" y="282"/>
                  </a:lnTo>
                  <a:lnTo>
                    <a:pt x="1146" y="294"/>
                  </a:lnTo>
                  <a:lnTo>
                    <a:pt x="1152" y="306"/>
                  </a:lnTo>
                  <a:lnTo>
                    <a:pt x="1164" y="318"/>
                  </a:lnTo>
                  <a:lnTo>
                    <a:pt x="1170" y="324"/>
                  </a:lnTo>
                  <a:lnTo>
                    <a:pt x="1176" y="336"/>
                  </a:lnTo>
                  <a:lnTo>
                    <a:pt x="1188" y="348"/>
                  </a:lnTo>
                  <a:lnTo>
                    <a:pt x="1194" y="360"/>
                  </a:lnTo>
                  <a:lnTo>
                    <a:pt x="1200" y="372"/>
                  </a:lnTo>
                  <a:lnTo>
                    <a:pt x="1212" y="378"/>
                  </a:lnTo>
                  <a:lnTo>
                    <a:pt x="1218" y="390"/>
                  </a:lnTo>
                  <a:lnTo>
                    <a:pt x="1230" y="402"/>
                  </a:lnTo>
                  <a:lnTo>
                    <a:pt x="1236" y="414"/>
                  </a:lnTo>
                  <a:lnTo>
                    <a:pt x="1242" y="420"/>
                  </a:lnTo>
                  <a:lnTo>
                    <a:pt x="1254" y="432"/>
                  </a:lnTo>
                  <a:lnTo>
                    <a:pt x="1260" y="444"/>
                  </a:lnTo>
                  <a:lnTo>
                    <a:pt x="1266" y="450"/>
                  </a:lnTo>
                  <a:lnTo>
                    <a:pt x="1278" y="462"/>
                  </a:lnTo>
                  <a:lnTo>
                    <a:pt x="1284" y="474"/>
                  </a:lnTo>
                  <a:lnTo>
                    <a:pt x="1290" y="480"/>
                  </a:lnTo>
                  <a:lnTo>
                    <a:pt x="1302" y="492"/>
                  </a:lnTo>
                  <a:lnTo>
                    <a:pt x="1308" y="498"/>
                  </a:lnTo>
                  <a:lnTo>
                    <a:pt x="1314" y="510"/>
                  </a:lnTo>
                  <a:lnTo>
                    <a:pt x="1326" y="516"/>
                  </a:lnTo>
                  <a:lnTo>
                    <a:pt x="1332" y="528"/>
                  </a:lnTo>
                  <a:lnTo>
                    <a:pt x="1338" y="534"/>
                  </a:lnTo>
                  <a:lnTo>
                    <a:pt x="1350" y="546"/>
                  </a:lnTo>
                  <a:lnTo>
                    <a:pt x="1356" y="552"/>
                  </a:lnTo>
                  <a:lnTo>
                    <a:pt x="1362" y="558"/>
                  </a:lnTo>
                  <a:lnTo>
                    <a:pt x="1374" y="570"/>
                  </a:lnTo>
                  <a:lnTo>
                    <a:pt x="1380" y="576"/>
                  </a:lnTo>
                  <a:lnTo>
                    <a:pt x="1386" y="582"/>
                  </a:lnTo>
                  <a:lnTo>
                    <a:pt x="1398" y="588"/>
                  </a:lnTo>
                  <a:lnTo>
                    <a:pt x="1404" y="600"/>
                  </a:lnTo>
                  <a:lnTo>
                    <a:pt x="1416" y="606"/>
                  </a:lnTo>
                  <a:lnTo>
                    <a:pt x="1422" y="612"/>
                  </a:lnTo>
                  <a:lnTo>
                    <a:pt x="1428" y="618"/>
                  </a:lnTo>
                  <a:lnTo>
                    <a:pt x="1440" y="624"/>
                  </a:lnTo>
                  <a:lnTo>
                    <a:pt x="1446" y="630"/>
                  </a:lnTo>
                  <a:lnTo>
                    <a:pt x="1452" y="636"/>
                  </a:lnTo>
                  <a:lnTo>
                    <a:pt x="1464" y="642"/>
                  </a:lnTo>
                  <a:lnTo>
                    <a:pt x="1470" y="648"/>
                  </a:lnTo>
                  <a:lnTo>
                    <a:pt x="1476" y="654"/>
                  </a:lnTo>
                  <a:lnTo>
                    <a:pt x="1488" y="660"/>
                  </a:lnTo>
                  <a:lnTo>
                    <a:pt x="1494" y="666"/>
                  </a:lnTo>
                  <a:lnTo>
                    <a:pt x="1500" y="672"/>
                  </a:lnTo>
                  <a:lnTo>
                    <a:pt x="1512" y="672"/>
                  </a:lnTo>
                  <a:lnTo>
                    <a:pt x="1518" y="678"/>
                  </a:lnTo>
                  <a:lnTo>
                    <a:pt x="1524" y="684"/>
                  </a:lnTo>
                  <a:lnTo>
                    <a:pt x="1536" y="690"/>
                  </a:lnTo>
                  <a:lnTo>
                    <a:pt x="1542" y="690"/>
                  </a:lnTo>
                  <a:lnTo>
                    <a:pt x="1548" y="696"/>
                  </a:lnTo>
                  <a:lnTo>
                    <a:pt x="1560" y="702"/>
                  </a:lnTo>
                  <a:lnTo>
                    <a:pt x="1566" y="702"/>
                  </a:lnTo>
                  <a:lnTo>
                    <a:pt x="1572" y="708"/>
                  </a:lnTo>
                  <a:lnTo>
                    <a:pt x="1584" y="708"/>
                  </a:lnTo>
                  <a:lnTo>
                    <a:pt x="1590" y="714"/>
                  </a:lnTo>
                  <a:lnTo>
                    <a:pt x="1602" y="714"/>
                  </a:lnTo>
                  <a:lnTo>
                    <a:pt x="1608" y="720"/>
                  </a:lnTo>
                  <a:lnTo>
                    <a:pt x="1614" y="720"/>
                  </a:lnTo>
                </a:path>
              </a:pathLst>
            </a:custGeom>
            <a:noFill/>
            <a:ln w="25400">
              <a:solidFill>
                <a:srgbClr val="0000FF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70" name="Line 6">
              <a:extLst>
                <a:ext uri="{FF2B5EF4-FFF2-40B4-BE49-F238E27FC236}">
                  <a16:creationId xmlns:a16="http://schemas.microsoft.com/office/drawing/2014/main" id="{CEE9801A-F9C9-1DF5-D255-F8303C9A82A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52" y="2478"/>
              <a:ext cx="0" cy="744"/>
            </a:xfrm>
            <a:prstGeom prst="line">
              <a:avLst/>
            </a:prstGeom>
            <a:noFill/>
            <a:ln w="31750">
              <a:solidFill>
                <a:srgbClr val="FF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71" name="Line 7">
              <a:extLst>
                <a:ext uri="{FF2B5EF4-FFF2-40B4-BE49-F238E27FC236}">
                  <a16:creationId xmlns:a16="http://schemas.microsoft.com/office/drawing/2014/main" id="{AFE22F27-9D26-3A6C-CD82-DDF8E2711A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9" y="2478"/>
              <a:ext cx="0" cy="747"/>
            </a:xfrm>
            <a:prstGeom prst="line">
              <a:avLst/>
            </a:prstGeom>
            <a:noFill/>
            <a:ln w="19050">
              <a:solidFill>
                <a:srgbClr val="0C2577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72" name="Freeform 8">
              <a:extLst>
                <a:ext uri="{FF2B5EF4-FFF2-40B4-BE49-F238E27FC236}">
                  <a16:creationId xmlns:a16="http://schemas.microsoft.com/office/drawing/2014/main" id="{C41A7AEB-3149-0701-064E-0EF83DF13F57}"/>
                </a:ext>
              </a:extLst>
            </xdr:cNvPr>
            <xdr:cNvSpPr>
              <a:spLocks/>
            </xdr:cNvSpPr>
          </xdr:nvSpPr>
          <xdr:spPr bwMode="auto">
            <a:xfrm>
              <a:off x="1462" y="3024"/>
              <a:ext cx="237" cy="200"/>
            </a:xfrm>
            <a:custGeom>
              <a:avLst/>
              <a:gdLst>
                <a:gd name="T0" fmla="*/ 2 w 189"/>
                <a:gd name="T1" fmla="*/ 124 h 126"/>
                <a:gd name="T2" fmla="*/ 0 w 189"/>
                <a:gd name="T3" fmla="*/ 0 h 126"/>
                <a:gd name="T4" fmla="*/ 23 w 189"/>
                <a:gd name="T5" fmla="*/ 22 h 126"/>
                <a:gd name="T6" fmla="*/ 59 w 189"/>
                <a:gd name="T7" fmla="*/ 52 h 126"/>
                <a:gd name="T8" fmla="*/ 96 w 189"/>
                <a:gd name="T9" fmla="*/ 79 h 126"/>
                <a:gd name="T10" fmla="*/ 138 w 189"/>
                <a:gd name="T11" fmla="*/ 103 h 126"/>
                <a:gd name="T12" fmla="*/ 167 w 189"/>
                <a:gd name="T13" fmla="*/ 115 h 126"/>
                <a:gd name="T14" fmla="*/ 189 w 189"/>
                <a:gd name="T15" fmla="*/ 126 h 126"/>
                <a:gd name="T16" fmla="*/ 2 w 189"/>
                <a:gd name="T17" fmla="*/ 124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89"/>
                <a:gd name="T28" fmla="*/ 0 h 126"/>
                <a:gd name="T29" fmla="*/ 189 w 189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89" h="126">
                  <a:moveTo>
                    <a:pt x="2" y="124"/>
                  </a:moveTo>
                  <a:lnTo>
                    <a:pt x="0" y="0"/>
                  </a:lnTo>
                  <a:lnTo>
                    <a:pt x="23" y="22"/>
                  </a:lnTo>
                  <a:lnTo>
                    <a:pt x="59" y="52"/>
                  </a:lnTo>
                  <a:lnTo>
                    <a:pt x="96" y="79"/>
                  </a:lnTo>
                  <a:lnTo>
                    <a:pt x="138" y="103"/>
                  </a:lnTo>
                  <a:lnTo>
                    <a:pt x="167" y="115"/>
                  </a:lnTo>
                  <a:lnTo>
                    <a:pt x="189" y="126"/>
                  </a:lnTo>
                  <a:lnTo>
                    <a:pt x="2" y="124"/>
                  </a:lnTo>
                  <a:close/>
                </a:path>
              </a:pathLst>
            </a:custGeom>
            <a:solidFill>
              <a:srgbClr val="80808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 cap="flat" cmpd="sng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14:hiddenLine>
              </a:ext>
            </a:extLst>
          </xdr:spPr>
        </xdr:sp>
      </xdr:grpSp>
      <xdr:sp macro="" textlink="">
        <xdr:nvSpPr>
          <xdr:cNvPr id="6153" name="Text Box 9">
            <a:extLst>
              <a:ext uri="{FF2B5EF4-FFF2-40B4-BE49-F238E27FC236}">
                <a16:creationId xmlns:a16="http://schemas.microsoft.com/office/drawing/2014/main" id="{891E68DB-7354-E952-5CE8-D697452065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5" y="11"/>
            <a:ext cx="48" cy="51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4572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3366"/>
                </a:solidFill>
                <a:latin typeface="Tahoma"/>
                <a:ea typeface="Tahoma"/>
                <a:cs typeface="Tahoma"/>
              </a:rPr>
              <a:t>“Z”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3366"/>
              </a:solidFill>
              <a:latin typeface="Tahoma"/>
              <a:ea typeface="Tahoma"/>
              <a:cs typeface="Tahoma"/>
            </a:endParaRPr>
          </a:p>
        </xdr:txBody>
      </xdr:sp>
    </xdr:grpSp>
    <xdr:clientData/>
  </xdr:twoCellAnchor>
  <xdr:twoCellAnchor editAs="oneCell">
    <xdr:from>
      <xdr:col>1</xdr:col>
      <xdr:colOff>9525</xdr:colOff>
      <xdr:row>1</xdr:row>
      <xdr:rowOff>9525</xdr:rowOff>
    </xdr:from>
    <xdr:to>
      <xdr:col>3</xdr:col>
      <xdr:colOff>1847850</xdr:colOff>
      <xdr:row>1</xdr:row>
      <xdr:rowOff>447675</xdr:rowOff>
    </xdr:to>
    <xdr:pic>
      <xdr:nvPicPr>
        <xdr:cNvPr id="6164" name="Picture 18" descr="20100414 Low Res RGB">
          <a:extLst>
            <a:ext uri="{FF2B5EF4-FFF2-40B4-BE49-F238E27FC236}">
              <a16:creationId xmlns:a16="http://schemas.microsoft.com/office/drawing/2014/main" id="{79E951BF-693F-800F-C56A-49046758D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41338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"/>
  <sheetViews>
    <sheetView workbookViewId="0">
      <selection activeCell="K3" sqref="K3"/>
    </sheetView>
  </sheetViews>
  <sheetFormatPr defaultRowHeight="12.75" x14ac:dyDescent="0.2"/>
  <cols>
    <col min="1" max="1" width="0.140625" style="7" customWidth="1"/>
    <col min="2" max="6" width="9.140625" style="7" customWidth="1"/>
    <col min="7" max="7" width="12" style="7" bestFit="1" customWidth="1"/>
    <col min="8" max="8" width="9.140625" style="7" customWidth="1"/>
    <col min="9" max="9" width="7.7109375" style="7" customWidth="1"/>
    <col min="10" max="16384" width="9.140625" style="7"/>
  </cols>
  <sheetData>
    <row r="1" spans="1:14" ht="0.75" customHeight="1" thickBot="1" x14ac:dyDescent="0.25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s="1" customFormat="1" ht="65.25" customHeight="1" thickBot="1" x14ac:dyDescent="0.45">
      <c r="A2" s="34"/>
      <c r="B2" s="89"/>
      <c r="C2" s="90"/>
      <c r="D2" s="90"/>
      <c r="E2" s="90"/>
      <c r="F2" s="90"/>
      <c r="G2" s="90"/>
      <c r="H2" s="91"/>
      <c r="I2" s="29"/>
      <c r="J2" s="29"/>
      <c r="K2" s="29"/>
      <c r="L2" s="29"/>
      <c r="M2" s="29"/>
      <c r="N2" s="35"/>
    </row>
    <row r="3" spans="1:14" s="3" customFormat="1" ht="39.950000000000003" customHeight="1" x14ac:dyDescent="0.2">
      <c r="B3" s="15" t="s">
        <v>37</v>
      </c>
      <c r="C3" s="4"/>
      <c r="D3" s="4"/>
      <c r="E3" s="4"/>
      <c r="F3" s="4"/>
      <c r="N3" s="74"/>
    </row>
    <row r="4" spans="1:14" ht="15" x14ac:dyDescent="0.2">
      <c r="A4" s="18"/>
      <c r="B4" s="30" t="s">
        <v>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9"/>
    </row>
    <row r="5" spans="1:14" x14ac:dyDescent="0.2">
      <c r="A5" s="18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9"/>
    </row>
    <row r="6" spans="1:14" s="16" customFormat="1" ht="18" x14ac:dyDescent="0.25">
      <c r="A6" s="36"/>
      <c r="B6" s="24" t="s">
        <v>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1:14" ht="9" customHeight="1" thickBot="1" x14ac:dyDescent="0.25">
      <c r="A7" s="18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9"/>
    </row>
    <row r="8" spans="1:14" ht="13.5" thickBot="1" x14ac:dyDescent="0.25">
      <c r="A8" s="18"/>
      <c r="B8" s="10"/>
      <c r="C8" s="10" t="s">
        <v>13</v>
      </c>
      <c r="D8" s="10"/>
      <c r="E8" s="10"/>
      <c r="F8" s="10"/>
      <c r="G8" s="72">
        <v>0.21</v>
      </c>
      <c r="H8" s="10" t="s">
        <v>19</v>
      </c>
      <c r="I8" s="10"/>
      <c r="J8" s="10"/>
      <c r="K8" s="10"/>
      <c r="L8" s="10"/>
      <c r="M8" s="10"/>
      <c r="N8" s="19"/>
    </row>
    <row r="9" spans="1:14" ht="9" customHeight="1" thickBot="1" x14ac:dyDescent="0.25">
      <c r="A9" s="18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9"/>
    </row>
    <row r="10" spans="1:14" ht="13.5" thickBot="1" x14ac:dyDescent="0.25">
      <c r="A10" s="18"/>
      <c r="B10" s="10"/>
      <c r="C10" s="10" t="s">
        <v>14</v>
      </c>
      <c r="D10" s="10"/>
      <c r="E10" s="10"/>
      <c r="F10" s="10"/>
      <c r="G10" s="88">
        <f>NORMSINV(1-G8)</f>
        <v>0.80642124701824058</v>
      </c>
      <c r="H10" s="10"/>
      <c r="I10" s="10"/>
      <c r="J10" s="10"/>
      <c r="K10" s="10"/>
      <c r="L10" s="10"/>
      <c r="M10" s="10"/>
      <c r="N10" s="19"/>
    </row>
    <row r="11" spans="1:14" ht="9" customHeight="1" x14ac:dyDescent="0.2">
      <c r="A11" s="18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9"/>
    </row>
    <row r="12" spans="1:14" x14ac:dyDescent="0.2">
      <c r="A12" s="18"/>
      <c r="B12" s="10"/>
      <c r="C12" s="10" t="s">
        <v>15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9"/>
    </row>
    <row r="13" spans="1:14" ht="13.5" thickBot="1" x14ac:dyDescent="0.25">
      <c r="A13" s="18"/>
      <c r="B13" s="10"/>
      <c r="C13" s="10" t="s">
        <v>16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9"/>
    </row>
    <row r="14" spans="1:14" ht="13.5" thickBot="1" x14ac:dyDescent="0.25">
      <c r="A14" s="18"/>
      <c r="B14" s="10"/>
      <c r="C14" s="10" t="s">
        <v>17</v>
      </c>
      <c r="D14" s="10"/>
      <c r="E14" s="10"/>
      <c r="F14" s="10"/>
      <c r="G14" s="10"/>
      <c r="H14" s="84">
        <f>G10</f>
        <v>0.80642124701824058</v>
      </c>
      <c r="I14" s="85" t="s">
        <v>34</v>
      </c>
      <c r="J14" s="87">
        <f>H14-1.5</f>
        <v>-0.69357875298175942</v>
      </c>
      <c r="K14" s="10"/>
      <c r="L14" s="10"/>
      <c r="M14" s="10"/>
      <c r="N14" s="19"/>
    </row>
    <row r="15" spans="1:14" x14ac:dyDescent="0.2">
      <c r="A15" s="18"/>
      <c r="B15" s="10"/>
      <c r="C15" s="10"/>
      <c r="D15" s="10"/>
      <c r="E15" s="10"/>
      <c r="F15" s="10"/>
      <c r="G15" s="10"/>
      <c r="H15" s="75"/>
      <c r="I15" s="23"/>
      <c r="J15" s="75"/>
      <c r="K15" s="10"/>
      <c r="L15" s="10"/>
      <c r="M15" s="10"/>
      <c r="N15" s="19"/>
    </row>
    <row r="16" spans="1:14" x14ac:dyDescent="0.2">
      <c r="A16" s="18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9"/>
    </row>
    <row r="17" spans="1:14" s="17" customFormat="1" ht="18" x14ac:dyDescent="0.25">
      <c r="A17" s="20"/>
      <c r="B17" s="24" t="s">
        <v>10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</row>
    <row r="18" spans="1:14" ht="18" x14ac:dyDescent="0.25">
      <c r="A18" s="18"/>
      <c r="B18" s="24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86"/>
      <c r="M18" s="10"/>
      <c r="N18" s="19"/>
    </row>
    <row r="19" spans="1:14" ht="9" customHeight="1" thickBot="1" x14ac:dyDescent="0.25">
      <c r="A19" s="18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9"/>
    </row>
    <row r="20" spans="1:14" ht="13.5" thickBot="1" x14ac:dyDescent="0.25">
      <c r="A20" s="18"/>
      <c r="B20" s="10"/>
      <c r="C20" s="10" t="s">
        <v>13</v>
      </c>
      <c r="D20" s="10"/>
      <c r="E20" s="10"/>
      <c r="F20" s="10"/>
      <c r="G20" s="72">
        <v>0.2</v>
      </c>
      <c r="H20" s="10" t="s">
        <v>19</v>
      </c>
      <c r="I20" s="10"/>
      <c r="J20" s="10"/>
      <c r="K20" s="10"/>
      <c r="L20" s="10"/>
      <c r="M20" s="10"/>
      <c r="N20" s="19"/>
    </row>
    <row r="21" spans="1:14" ht="9" customHeight="1" thickBot="1" x14ac:dyDescent="0.25">
      <c r="A21" s="18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9"/>
    </row>
    <row r="22" spans="1:14" ht="13.5" thickBot="1" x14ac:dyDescent="0.25">
      <c r="A22" s="18"/>
      <c r="B22" s="10"/>
      <c r="C22" s="10" t="s">
        <v>20</v>
      </c>
      <c r="D22" s="10"/>
      <c r="E22" s="10"/>
      <c r="F22" s="10"/>
      <c r="G22" s="88">
        <f>NORMSINV(1-G20)</f>
        <v>0.84162123357291474</v>
      </c>
      <c r="H22" s="10"/>
      <c r="I22" s="10"/>
      <c r="J22" s="10"/>
      <c r="K22" s="10"/>
      <c r="L22" s="10"/>
      <c r="M22" s="10"/>
      <c r="N22" s="19"/>
    </row>
    <row r="23" spans="1:14" ht="9" customHeight="1" x14ac:dyDescent="0.2">
      <c r="A23" s="18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9"/>
    </row>
    <row r="24" spans="1:14" x14ac:dyDescent="0.2">
      <c r="A24" s="18"/>
      <c r="B24" s="10"/>
      <c r="C24" s="10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9"/>
    </row>
    <row r="25" spans="1:14" x14ac:dyDescent="0.2">
      <c r="A25" s="18"/>
      <c r="B25" s="10"/>
      <c r="C25" s="10" t="s">
        <v>35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9"/>
    </row>
    <row r="26" spans="1:14" ht="13.5" thickBot="1" x14ac:dyDescent="0.25">
      <c r="A26" s="18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9"/>
    </row>
    <row r="27" spans="1:14" ht="13.5" thickBot="1" x14ac:dyDescent="0.25">
      <c r="A27" s="18"/>
      <c r="B27" s="10"/>
      <c r="C27" s="10" t="s">
        <v>36</v>
      </c>
      <c r="D27" s="10"/>
      <c r="E27" s="10"/>
      <c r="F27" s="10"/>
      <c r="G27" s="10"/>
      <c r="H27" s="84">
        <f>G22</f>
        <v>0.84162123357291474</v>
      </c>
      <c r="I27" s="85" t="s">
        <v>18</v>
      </c>
      <c r="J27" s="87">
        <f>H27+1.5</f>
        <v>2.3416212335729147</v>
      </c>
      <c r="K27" s="10"/>
      <c r="L27" s="10"/>
      <c r="M27" s="10"/>
      <c r="N27" s="19"/>
    </row>
    <row r="28" spans="1:14" x14ac:dyDescent="0.2">
      <c r="A28" s="1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9"/>
    </row>
    <row r="29" spans="1:14" s="17" customFormat="1" ht="18" x14ac:dyDescent="0.25">
      <c r="A29" s="20"/>
      <c r="B29" s="24" t="s">
        <v>12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</row>
    <row r="30" spans="1:14" ht="13.5" thickBot="1" x14ac:dyDescent="0.25">
      <c r="A30" s="18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9"/>
    </row>
    <row r="31" spans="1:14" ht="13.5" thickBot="1" x14ac:dyDescent="0.25">
      <c r="A31" s="18"/>
      <c r="B31" s="10"/>
      <c r="C31" s="10" t="s">
        <v>22</v>
      </c>
      <c r="D31" s="10"/>
      <c r="E31" s="10"/>
      <c r="F31" s="10"/>
      <c r="G31" s="10"/>
      <c r="H31" s="37">
        <v>0.2</v>
      </c>
      <c r="I31" s="10"/>
      <c r="J31" s="10" t="s">
        <v>26</v>
      </c>
      <c r="K31" s="10"/>
      <c r="L31" s="10"/>
      <c r="M31" s="10"/>
      <c r="N31" s="19"/>
    </row>
    <row r="32" spans="1:14" ht="13.5" thickBot="1" x14ac:dyDescent="0.25">
      <c r="A32" s="18"/>
      <c r="B32" s="10"/>
      <c r="C32" s="10"/>
      <c r="D32" s="10"/>
      <c r="E32" s="10"/>
      <c r="F32" s="10"/>
      <c r="G32" s="10"/>
      <c r="H32" s="10"/>
      <c r="I32" s="10"/>
      <c r="J32" s="10" t="s">
        <v>27</v>
      </c>
      <c r="K32" s="10"/>
      <c r="L32" s="10"/>
      <c r="M32" s="10"/>
      <c r="N32" s="19"/>
    </row>
    <row r="33" spans="1:14" ht="13.5" thickBot="1" x14ac:dyDescent="0.25">
      <c r="A33" s="18"/>
      <c r="B33" s="10"/>
      <c r="C33" s="10" t="s">
        <v>23</v>
      </c>
      <c r="D33" s="10"/>
      <c r="E33" s="10"/>
      <c r="F33" s="10"/>
      <c r="G33" s="10"/>
      <c r="H33" s="37">
        <v>0.3</v>
      </c>
      <c r="I33" s="10"/>
      <c r="J33" s="10" t="s">
        <v>28</v>
      </c>
      <c r="K33" s="10"/>
      <c r="L33" s="10"/>
      <c r="M33" s="10"/>
      <c r="N33" s="19"/>
    </row>
    <row r="34" spans="1:14" ht="13.5" thickBot="1" x14ac:dyDescent="0.25">
      <c r="A34" s="1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9"/>
    </row>
    <row r="35" spans="1:14" ht="13.5" thickBot="1" x14ac:dyDescent="0.25">
      <c r="A35" s="18"/>
      <c r="B35" s="10"/>
      <c r="C35" s="10"/>
      <c r="D35" s="10" t="s">
        <v>24</v>
      </c>
      <c r="E35" s="10"/>
      <c r="F35" s="10"/>
      <c r="G35" s="10"/>
      <c r="H35" s="88">
        <f>NORMSINV(1-H31)</f>
        <v>0.84162123357291474</v>
      </c>
      <c r="I35" s="10"/>
      <c r="J35" s="10" t="s">
        <v>29</v>
      </c>
      <c r="K35" s="10"/>
      <c r="L35" s="10"/>
      <c r="M35" s="10"/>
      <c r="N35" s="19"/>
    </row>
    <row r="36" spans="1:14" ht="13.5" thickBot="1" x14ac:dyDescent="0.25">
      <c r="A36" s="18"/>
      <c r="B36" s="10"/>
      <c r="C36" s="10"/>
      <c r="D36" s="10"/>
      <c r="E36" s="10"/>
      <c r="F36" s="10"/>
      <c r="G36" s="10"/>
      <c r="H36" s="10"/>
      <c r="I36" s="10"/>
      <c r="J36" s="10" t="s">
        <v>30</v>
      </c>
      <c r="K36" s="10"/>
      <c r="L36" s="10"/>
      <c r="M36" s="10"/>
      <c r="N36" s="19"/>
    </row>
    <row r="37" spans="1:14" ht="13.5" thickBot="1" x14ac:dyDescent="0.25">
      <c r="A37" s="18"/>
      <c r="B37" s="10"/>
      <c r="C37" s="10"/>
      <c r="D37" s="10" t="s">
        <v>20</v>
      </c>
      <c r="E37" s="10"/>
      <c r="F37" s="10"/>
      <c r="G37" s="10"/>
      <c r="H37" s="88">
        <f>NORMSINV(1-H33)</f>
        <v>0.52440051270804078</v>
      </c>
      <c r="I37" s="10"/>
      <c r="J37" s="10" t="s">
        <v>31</v>
      </c>
      <c r="K37" s="10"/>
      <c r="L37" s="10"/>
      <c r="M37" s="10"/>
      <c r="N37" s="19"/>
    </row>
    <row r="38" spans="1:14" ht="13.5" thickBot="1" x14ac:dyDescent="0.25">
      <c r="A38" s="18"/>
      <c r="B38" s="10"/>
      <c r="C38" s="10"/>
      <c r="D38" s="10"/>
      <c r="E38" s="10"/>
      <c r="F38" s="10"/>
      <c r="G38" s="10"/>
      <c r="H38" s="10"/>
      <c r="I38" s="10"/>
      <c r="J38" s="10" t="s">
        <v>32</v>
      </c>
      <c r="K38" s="10"/>
      <c r="L38" s="10"/>
      <c r="M38" s="10"/>
      <c r="N38" s="19"/>
    </row>
    <row r="39" spans="1:14" ht="13.5" thickBot="1" x14ac:dyDescent="0.25">
      <c r="A39" s="18"/>
      <c r="B39" s="10"/>
      <c r="C39" s="10"/>
      <c r="D39" s="10" t="s">
        <v>25</v>
      </c>
      <c r="E39" s="10"/>
      <c r="F39" s="10"/>
      <c r="G39" s="10"/>
      <c r="H39" s="88">
        <f>H35-H37</f>
        <v>0.31722072086487396</v>
      </c>
      <c r="I39" s="10"/>
      <c r="J39" s="10" t="s">
        <v>33</v>
      </c>
      <c r="K39" s="10"/>
      <c r="L39" s="10"/>
      <c r="M39" s="10"/>
      <c r="N39" s="19"/>
    </row>
    <row r="40" spans="1:14" x14ac:dyDescent="0.2">
      <c r="A40" s="1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9"/>
    </row>
    <row r="41" spans="1:14" ht="13.5" thickBot="1" x14ac:dyDescent="0.2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8"/>
    </row>
  </sheetData>
  <mergeCells count="1">
    <mergeCell ref="B2:H2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4107" r:id="rId4">
          <objectPr defaultSiz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7</xdr:col>
                <xdr:colOff>600075</xdr:colOff>
                <xdr:row>2</xdr:row>
                <xdr:rowOff>0</xdr:rowOff>
              </to>
            </anchor>
          </objectPr>
        </oleObject>
      </mc:Choice>
      <mc:Fallback>
        <oleObject progId="MSPhotoEd.3" shapeId="410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zoomScale="85" workbookViewId="0">
      <selection activeCell="G7" sqref="G7"/>
    </sheetView>
  </sheetViews>
  <sheetFormatPr defaultRowHeight="12.75" x14ac:dyDescent="0.2"/>
  <cols>
    <col min="1" max="1" width="0.140625" style="7" customWidth="1"/>
    <col min="2" max="6" width="9.140625" style="7" customWidth="1"/>
    <col min="7" max="7" width="12" style="7" bestFit="1" customWidth="1"/>
    <col min="8" max="8" width="9.5703125" style="7" customWidth="1"/>
    <col min="9" max="16384" width="9.140625" style="7"/>
  </cols>
  <sheetData>
    <row r="1" spans="1:14" ht="0.75" customHeight="1" thickBot="1" x14ac:dyDescent="0.25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s="1" customFormat="1" ht="39" customHeight="1" thickBot="1" x14ac:dyDescent="0.45">
      <c r="A2" s="34"/>
      <c r="B2" s="89"/>
      <c r="C2" s="90"/>
      <c r="D2" s="90"/>
      <c r="E2" s="90"/>
      <c r="F2" s="90"/>
      <c r="G2" s="90"/>
      <c r="H2" s="91"/>
      <c r="I2" s="29"/>
      <c r="J2" s="29"/>
      <c r="K2" s="29"/>
      <c r="L2" s="29"/>
      <c r="M2" s="29"/>
      <c r="N2" s="35"/>
    </row>
    <row r="3" spans="1:14" s="3" customFormat="1" ht="39.950000000000003" customHeight="1" x14ac:dyDescent="0.2">
      <c r="A3" s="81"/>
      <c r="B3" s="82" t="s">
        <v>38</v>
      </c>
      <c r="C3" s="83"/>
      <c r="D3" s="83"/>
      <c r="E3" s="83"/>
      <c r="F3" s="83"/>
      <c r="G3" s="73"/>
      <c r="H3" s="73"/>
      <c r="I3" s="73"/>
      <c r="J3" s="73"/>
      <c r="K3" s="73"/>
      <c r="L3" s="73"/>
      <c r="M3" s="73"/>
      <c r="N3" s="74"/>
    </row>
    <row r="4" spans="1:14" x14ac:dyDescent="0.2">
      <c r="A4" s="18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9"/>
    </row>
    <row r="5" spans="1:14" s="16" customFormat="1" ht="18" x14ac:dyDescent="0.25">
      <c r="A5" s="36"/>
      <c r="B5" s="24" t="s">
        <v>47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pans="1:14" ht="9" customHeight="1" thickBot="1" x14ac:dyDescent="0.25">
      <c r="A6" s="18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9"/>
    </row>
    <row r="7" spans="1:14" ht="13.5" thickBot="1" x14ac:dyDescent="0.25">
      <c r="A7" s="18"/>
      <c r="B7" s="10"/>
      <c r="C7" s="10" t="s">
        <v>39</v>
      </c>
      <c r="D7" s="10"/>
      <c r="E7" s="10"/>
      <c r="F7" s="10"/>
      <c r="G7" s="72">
        <v>1.6</v>
      </c>
      <c r="H7" s="10"/>
      <c r="I7" s="10"/>
      <c r="J7" s="10"/>
      <c r="K7" s="10"/>
      <c r="L7" s="10"/>
      <c r="M7" s="10"/>
      <c r="N7" s="19"/>
    </row>
    <row r="8" spans="1:14" ht="9" customHeight="1" thickBot="1" x14ac:dyDescent="0.25">
      <c r="A8" s="1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9"/>
    </row>
    <row r="9" spans="1:14" ht="13.5" thickBot="1" x14ac:dyDescent="0.25">
      <c r="A9" s="18"/>
      <c r="B9" s="10"/>
      <c r="C9" s="10" t="s">
        <v>40</v>
      </c>
      <c r="D9" s="10"/>
      <c r="E9" s="10"/>
      <c r="F9" s="10"/>
      <c r="G9" s="76">
        <f>1-NORMSDIST(G7)</f>
        <v>5.4799291699557995E-2</v>
      </c>
      <c r="H9" s="10"/>
      <c r="I9" s="10" t="s">
        <v>41</v>
      </c>
      <c r="J9" s="10"/>
      <c r="K9" s="10"/>
      <c r="L9" s="10"/>
      <c r="M9" s="10"/>
      <c r="N9" s="19"/>
    </row>
    <row r="10" spans="1:14" ht="9" customHeight="1" thickBot="1" x14ac:dyDescent="0.25">
      <c r="A10" s="18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9"/>
    </row>
    <row r="11" spans="1:14" ht="13.5" thickBot="1" x14ac:dyDescent="0.25">
      <c r="A11" s="18"/>
      <c r="B11" s="10"/>
      <c r="C11" s="10" t="s">
        <v>3</v>
      </c>
      <c r="D11" s="10"/>
      <c r="E11" s="10"/>
      <c r="F11" s="10"/>
      <c r="G11" s="77">
        <f>1-NORMSDIST(G7)</f>
        <v>5.4799291699557995E-2</v>
      </c>
      <c r="H11" s="10"/>
      <c r="I11" s="10" t="s">
        <v>42</v>
      </c>
      <c r="J11" s="10"/>
      <c r="K11" s="10"/>
      <c r="L11" s="10"/>
      <c r="M11" s="10"/>
      <c r="N11" s="19"/>
    </row>
    <row r="12" spans="1:14" ht="9" customHeight="1" thickBot="1" x14ac:dyDescent="0.25">
      <c r="A12" s="18"/>
      <c r="B12" s="10"/>
      <c r="C12" s="10"/>
      <c r="D12" s="10"/>
      <c r="E12" s="10"/>
      <c r="F12" s="10"/>
      <c r="G12" s="75"/>
      <c r="H12" s="10"/>
      <c r="I12" s="10"/>
      <c r="J12" s="10"/>
      <c r="K12" s="10"/>
      <c r="L12" s="10"/>
      <c r="M12" s="10"/>
      <c r="N12" s="19"/>
    </row>
    <row r="13" spans="1:14" ht="13.5" thickBot="1" x14ac:dyDescent="0.25">
      <c r="A13" s="18"/>
      <c r="B13" s="10"/>
      <c r="C13" s="10" t="s">
        <v>5</v>
      </c>
      <c r="D13" s="10"/>
      <c r="E13" s="10"/>
      <c r="F13" s="10"/>
      <c r="G13" s="78">
        <f>G9*1000000</f>
        <v>54799.291699557994</v>
      </c>
      <c r="H13" s="10"/>
      <c r="I13" s="10"/>
      <c r="J13" s="10"/>
      <c r="K13" s="10"/>
      <c r="L13" s="10"/>
      <c r="M13" s="10"/>
      <c r="N13" s="19"/>
    </row>
    <row r="14" spans="1:14" x14ac:dyDescent="0.2">
      <c r="A14" s="18"/>
      <c r="B14" s="10"/>
      <c r="C14" s="10"/>
      <c r="D14" s="10"/>
      <c r="E14" s="10"/>
      <c r="F14" s="10"/>
      <c r="G14" s="75"/>
      <c r="H14" s="10"/>
      <c r="I14" s="10"/>
      <c r="J14" s="10"/>
      <c r="K14" s="10"/>
      <c r="L14" s="10"/>
      <c r="M14" s="10"/>
      <c r="N14" s="19"/>
    </row>
    <row r="15" spans="1:14" x14ac:dyDescent="0.2">
      <c r="A15" s="18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9"/>
    </row>
    <row r="16" spans="1:14" s="17" customFormat="1" ht="18" x14ac:dyDescent="0.25">
      <c r="A16" s="20"/>
      <c r="B16" s="24" t="s">
        <v>43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</row>
    <row r="17" spans="1:14" ht="10.5" customHeight="1" thickBot="1" x14ac:dyDescent="0.3">
      <c r="A17" s="18"/>
      <c r="B17" s="2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9"/>
    </row>
    <row r="18" spans="1:14" ht="13.5" thickBot="1" x14ac:dyDescent="0.25">
      <c r="A18" s="18"/>
      <c r="B18" s="10"/>
      <c r="C18" s="10" t="s">
        <v>44</v>
      </c>
      <c r="D18" s="10"/>
      <c r="E18" s="10"/>
      <c r="F18" s="10"/>
      <c r="G18" s="72">
        <v>1.35</v>
      </c>
      <c r="H18" s="10"/>
      <c r="I18" s="10" t="s">
        <v>45</v>
      </c>
      <c r="J18" s="10"/>
      <c r="K18" s="10"/>
      <c r="L18" s="10"/>
      <c r="M18" s="10"/>
      <c r="N18" s="19"/>
    </row>
    <row r="19" spans="1:14" ht="9" customHeight="1" thickBot="1" x14ac:dyDescent="0.25">
      <c r="A19" s="18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9"/>
    </row>
    <row r="20" spans="1:14" ht="13.5" thickBot="1" x14ac:dyDescent="0.25">
      <c r="A20" s="18"/>
      <c r="B20" s="10"/>
      <c r="C20" s="10" t="s">
        <v>48</v>
      </c>
      <c r="D20" s="10"/>
      <c r="E20" s="10"/>
      <c r="F20" s="10"/>
      <c r="G20" s="79">
        <v>0.06</v>
      </c>
      <c r="H20" s="10"/>
      <c r="I20" s="10"/>
      <c r="J20" s="10"/>
      <c r="K20" s="10"/>
      <c r="L20" s="10"/>
      <c r="M20" s="10"/>
      <c r="N20" s="19"/>
    </row>
    <row r="21" spans="1:14" ht="9" customHeight="1" thickBot="1" x14ac:dyDescent="0.25">
      <c r="A21" s="18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9"/>
    </row>
    <row r="22" spans="1:14" ht="13.5" thickBot="1" x14ac:dyDescent="0.25">
      <c r="A22" s="18"/>
      <c r="B22" s="10"/>
      <c r="C22" s="10" t="s">
        <v>49</v>
      </c>
      <c r="D22" s="10"/>
      <c r="E22" s="10"/>
      <c r="F22" s="10"/>
      <c r="G22" s="79">
        <v>1.2</v>
      </c>
      <c r="H22" s="10"/>
      <c r="I22" s="10"/>
      <c r="J22" s="10"/>
      <c r="K22" s="10"/>
      <c r="L22" s="10"/>
      <c r="M22" s="10"/>
      <c r="N22" s="19"/>
    </row>
    <row r="23" spans="1:14" s="10" customFormat="1" ht="13.5" thickBot="1" x14ac:dyDescent="0.25">
      <c r="A23" s="18"/>
      <c r="N23" s="19"/>
    </row>
    <row r="24" spans="1:14" s="10" customFormat="1" ht="13.5" thickBot="1" x14ac:dyDescent="0.25">
      <c r="A24" s="18"/>
      <c r="C24" s="10" t="s">
        <v>46</v>
      </c>
      <c r="G24" s="80">
        <f>STANDARDIZE(G22,G18,G20)</f>
        <v>-2.5000000000000022</v>
      </c>
      <c r="N24" s="19"/>
    </row>
    <row r="25" spans="1:14" s="10" customFormat="1" x14ac:dyDescent="0.2">
      <c r="A25" s="18"/>
      <c r="H25" s="75"/>
      <c r="I25" s="23"/>
      <c r="J25" s="75"/>
      <c r="N25" s="19"/>
    </row>
    <row r="26" spans="1:14" ht="13.5" thickBot="1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</row>
    <row r="27" spans="1:14" s="17" customFormat="1" ht="18" x14ac:dyDescent="0.25">
      <c r="A27" s="20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x14ac:dyDescent="0.2">
      <c r="A28" s="1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">
      <c r="A29" s="18"/>
      <c r="B29" s="10"/>
      <c r="C29" s="10"/>
      <c r="D29" s="10"/>
      <c r="E29" s="10"/>
      <c r="F29" s="10"/>
      <c r="G29" s="10"/>
      <c r="H29" s="11"/>
      <c r="I29" s="10"/>
      <c r="J29" s="10"/>
      <c r="K29" s="10"/>
      <c r="L29" s="10"/>
      <c r="M29" s="10"/>
      <c r="N29" s="10"/>
    </row>
    <row r="30" spans="1:14" x14ac:dyDescent="0.2">
      <c r="A30" s="18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">
      <c r="A31" s="18"/>
      <c r="B31" s="10"/>
      <c r="C31" s="10"/>
      <c r="D31" s="10"/>
      <c r="E31" s="10"/>
      <c r="F31" s="10"/>
      <c r="G31" s="10"/>
      <c r="H31" s="11"/>
      <c r="I31" s="10"/>
      <c r="J31" s="10"/>
      <c r="K31" s="10"/>
      <c r="L31" s="10"/>
      <c r="M31" s="10"/>
      <c r="N31" s="10"/>
    </row>
    <row r="32" spans="1:14" x14ac:dyDescent="0.2">
      <c r="A32" s="18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">
      <c r="A33" s="18"/>
      <c r="B33" s="10"/>
      <c r="C33" s="10"/>
      <c r="D33" s="10"/>
      <c r="E33" s="10"/>
      <c r="F33" s="10"/>
      <c r="G33" s="10"/>
      <c r="H33" s="75"/>
      <c r="I33" s="10"/>
      <c r="J33" s="10"/>
      <c r="K33" s="10"/>
      <c r="L33" s="10"/>
      <c r="M33" s="10"/>
      <c r="N33" s="10"/>
    </row>
    <row r="34" spans="1:14" x14ac:dyDescent="0.2">
      <c r="A34" s="1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">
      <c r="A35" s="18"/>
      <c r="B35" s="10"/>
      <c r="C35" s="10"/>
      <c r="D35" s="10"/>
      <c r="E35" s="10"/>
      <c r="F35" s="10"/>
      <c r="G35" s="10"/>
      <c r="H35" s="75"/>
      <c r="I35" s="10"/>
      <c r="J35" s="10"/>
      <c r="K35" s="10"/>
      <c r="L35" s="10"/>
      <c r="M35" s="10"/>
      <c r="N35" s="10"/>
    </row>
    <row r="36" spans="1:14" x14ac:dyDescent="0.2">
      <c r="A36" s="18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">
      <c r="A37" s="18"/>
      <c r="B37" s="10"/>
      <c r="C37" s="10"/>
      <c r="D37" s="10"/>
      <c r="E37" s="10"/>
      <c r="F37" s="10"/>
      <c r="G37" s="10"/>
      <c r="H37" s="75"/>
      <c r="I37" s="10"/>
      <c r="J37" s="10"/>
      <c r="K37" s="10"/>
      <c r="L37" s="10"/>
      <c r="M37" s="10"/>
      <c r="N37" s="10"/>
    </row>
    <row r="38" spans="1:14" x14ac:dyDescent="0.2">
      <c r="A38" s="1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3.5" thickBot="1" x14ac:dyDescent="0.25">
      <c r="A39" s="2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</sheetData>
  <mergeCells count="1">
    <mergeCell ref="B2:H2"/>
  </mergeCells>
  <phoneticPr fontId="1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6"/>
  <sheetViews>
    <sheetView zoomScale="85" workbookViewId="0">
      <selection activeCell="B2" sqref="B2:D2"/>
    </sheetView>
  </sheetViews>
  <sheetFormatPr defaultRowHeight="12.75" x14ac:dyDescent="0.2"/>
  <cols>
    <col min="1" max="1" width="0.140625" style="7" customWidth="1"/>
    <col min="2" max="2" width="5.42578125" style="7" customWidth="1"/>
    <col min="3" max="3" width="29" style="9" customWidth="1"/>
    <col min="4" max="4" width="28.42578125" style="9" customWidth="1"/>
    <col min="5" max="5" width="27" style="9" customWidth="1"/>
    <col min="6" max="6" width="26.28515625" style="9" customWidth="1"/>
    <col min="7" max="16384" width="9.140625" style="7"/>
  </cols>
  <sheetData>
    <row r="1" spans="2:7" ht="0.75" customHeight="1" thickBot="1" x14ac:dyDescent="0.25"/>
    <row r="2" spans="2:7" s="1" customFormat="1" ht="37.9" customHeight="1" thickBot="1" x14ac:dyDescent="0.45">
      <c r="B2" s="89"/>
      <c r="C2" s="90"/>
      <c r="D2" s="91"/>
      <c r="E2" s="2"/>
      <c r="F2" s="2"/>
    </row>
    <row r="3" spans="2:7" s="3" customFormat="1" ht="39.950000000000003" customHeight="1" x14ac:dyDescent="0.2">
      <c r="B3" s="15" t="s">
        <v>6</v>
      </c>
      <c r="C3" s="4"/>
      <c r="D3" s="4"/>
      <c r="E3" s="4"/>
      <c r="F3" s="4"/>
    </row>
    <row r="4" spans="2:7" s="3" customFormat="1" ht="15" x14ac:dyDescent="0.2">
      <c r="B4" s="5" t="s">
        <v>1</v>
      </c>
      <c r="C4" s="4"/>
      <c r="D4" s="4"/>
      <c r="E4" s="4"/>
      <c r="F4" s="4"/>
    </row>
    <row r="5" spans="2:7" s="3" customFormat="1" ht="15" x14ac:dyDescent="0.2">
      <c r="B5" s="5" t="s">
        <v>0</v>
      </c>
      <c r="C5" s="4"/>
      <c r="D5" s="4"/>
      <c r="E5" s="4"/>
      <c r="F5" s="4"/>
    </row>
    <row r="6" spans="2:7" s="3" customFormat="1" ht="13.5" thickBot="1" x14ac:dyDescent="0.25">
      <c r="C6" s="4"/>
      <c r="D6" s="4"/>
      <c r="E6" s="4"/>
      <c r="F6" s="4"/>
    </row>
    <row r="7" spans="2:7" s="6" customFormat="1" ht="39.75" customHeight="1" thickBot="1" x14ac:dyDescent="0.25">
      <c r="C7" s="38" t="s">
        <v>2</v>
      </c>
      <c r="D7" s="38" t="s">
        <v>4</v>
      </c>
      <c r="E7" s="38" t="s">
        <v>3</v>
      </c>
      <c r="F7" s="38" t="s">
        <v>5</v>
      </c>
      <c r="G7" s="8"/>
    </row>
    <row r="8" spans="2:7" x14ac:dyDescent="0.2">
      <c r="C8" s="39">
        <v>-6</v>
      </c>
      <c r="D8" s="40">
        <f t="shared" ref="D8:E27" si="0">1-NORMSDIST($C8)</f>
        <v>0.9999999990134123</v>
      </c>
      <c r="E8" s="41">
        <f t="shared" si="0"/>
        <v>0.9999999990134123</v>
      </c>
      <c r="F8" s="42">
        <f t="shared" ref="F8:F39" si="1">D8*1000000</f>
        <v>999999.99901341228</v>
      </c>
    </row>
    <row r="9" spans="2:7" x14ac:dyDescent="0.2">
      <c r="C9" s="43">
        <v>-5.5</v>
      </c>
      <c r="D9" s="44">
        <f t="shared" si="0"/>
        <v>0.99999998101043752</v>
      </c>
      <c r="E9" s="45">
        <f t="shared" si="0"/>
        <v>0.99999998101043752</v>
      </c>
      <c r="F9" s="46">
        <f t="shared" si="1"/>
        <v>999999.98101043748</v>
      </c>
    </row>
    <row r="10" spans="2:7" x14ac:dyDescent="0.2">
      <c r="C10" s="43">
        <v>-5</v>
      </c>
      <c r="D10" s="44">
        <f t="shared" si="0"/>
        <v>0.99999971334842808</v>
      </c>
      <c r="E10" s="45">
        <f t="shared" si="0"/>
        <v>0.99999971334842808</v>
      </c>
      <c r="F10" s="46">
        <f t="shared" si="1"/>
        <v>999999.71334842802</v>
      </c>
    </row>
    <row r="11" spans="2:7" x14ac:dyDescent="0.2">
      <c r="C11" s="43">
        <v>-4.5</v>
      </c>
      <c r="D11" s="44">
        <f t="shared" si="0"/>
        <v>0.99999660232687526</v>
      </c>
      <c r="E11" s="45">
        <f t="shared" si="0"/>
        <v>0.99999660232687526</v>
      </c>
      <c r="F11" s="46">
        <f t="shared" si="1"/>
        <v>999996.6023268752</v>
      </c>
    </row>
    <row r="12" spans="2:7" x14ac:dyDescent="0.2">
      <c r="C12" s="43">
        <v>-4</v>
      </c>
      <c r="D12" s="44">
        <f t="shared" si="0"/>
        <v>0.99996832875816688</v>
      </c>
      <c r="E12" s="45">
        <f t="shared" si="0"/>
        <v>0.99996832875816688</v>
      </c>
      <c r="F12" s="46">
        <f t="shared" si="1"/>
        <v>999968.32875816687</v>
      </c>
    </row>
    <row r="13" spans="2:7" x14ac:dyDescent="0.2">
      <c r="C13" s="43">
        <v>-3.5</v>
      </c>
      <c r="D13" s="44">
        <f t="shared" si="0"/>
        <v>0.99976737092096446</v>
      </c>
      <c r="E13" s="45">
        <f t="shared" si="0"/>
        <v>0.99976737092096446</v>
      </c>
      <c r="F13" s="46">
        <f t="shared" si="1"/>
        <v>999767.37092096452</v>
      </c>
    </row>
    <row r="14" spans="2:7" x14ac:dyDescent="0.2">
      <c r="C14" s="43">
        <v>-3</v>
      </c>
      <c r="D14" s="44">
        <f t="shared" si="0"/>
        <v>0.9986501019683699</v>
      </c>
      <c r="E14" s="45">
        <f t="shared" si="0"/>
        <v>0.9986501019683699</v>
      </c>
      <c r="F14" s="46">
        <f t="shared" si="1"/>
        <v>998650.10196836991</v>
      </c>
    </row>
    <row r="15" spans="2:7" x14ac:dyDescent="0.2">
      <c r="C15" s="43">
        <v>-2.5</v>
      </c>
      <c r="D15" s="44">
        <f t="shared" si="0"/>
        <v>0.99379033467422384</v>
      </c>
      <c r="E15" s="45">
        <f t="shared" si="0"/>
        <v>0.99379033467422384</v>
      </c>
      <c r="F15" s="46">
        <f t="shared" si="1"/>
        <v>993790.33467422379</v>
      </c>
    </row>
    <row r="16" spans="2:7" x14ac:dyDescent="0.2">
      <c r="C16" s="43">
        <v>-2</v>
      </c>
      <c r="D16" s="44">
        <f t="shared" si="0"/>
        <v>0.97724986805182079</v>
      </c>
      <c r="E16" s="45">
        <f t="shared" si="0"/>
        <v>0.97724986805182079</v>
      </c>
      <c r="F16" s="46">
        <f t="shared" si="1"/>
        <v>977249.86805182078</v>
      </c>
    </row>
    <row r="17" spans="3:6" x14ac:dyDescent="0.2">
      <c r="C17" s="43">
        <v>-1.5</v>
      </c>
      <c r="D17" s="44">
        <f t="shared" si="0"/>
        <v>0.93319279873114191</v>
      </c>
      <c r="E17" s="45">
        <f t="shared" si="0"/>
        <v>0.93319279873114191</v>
      </c>
      <c r="F17" s="46">
        <f t="shared" si="1"/>
        <v>933192.79873114196</v>
      </c>
    </row>
    <row r="18" spans="3:6" x14ac:dyDescent="0.2">
      <c r="C18" s="43">
        <v>-1</v>
      </c>
      <c r="D18" s="44">
        <f t="shared" si="0"/>
        <v>0.84134474606854304</v>
      </c>
      <c r="E18" s="45">
        <f t="shared" si="0"/>
        <v>0.84134474606854304</v>
      </c>
      <c r="F18" s="46">
        <f t="shared" si="1"/>
        <v>841344.74606854306</v>
      </c>
    </row>
    <row r="19" spans="3:6" x14ac:dyDescent="0.2">
      <c r="C19" s="43">
        <v>-0.5</v>
      </c>
      <c r="D19" s="44">
        <f t="shared" si="0"/>
        <v>0.69146246127401312</v>
      </c>
      <c r="E19" s="45">
        <f t="shared" si="0"/>
        <v>0.69146246127401312</v>
      </c>
      <c r="F19" s="46">
        <f t="shared" si="1"/>
        <v>691462.46127401316</v>
      </c>
    </row>
    <row r="20" spans="3:6" x14ac:dyDescent="0.2">
      <c r="C20" s="43">
        <v>0</v>
      </c>
      <c r="D20" s="44">
        <f t="shared" si="0"/>
        <v>0.5</v>
      </c>
      <c r="E20" s="45">
        <f t="shared" si="0"/>
        <v>0.5</v>
      </c>
      <c r="F20" s="46">
        <f t="shared" si="1"/>
        <v>500000</v>
      </c>
    </row>
    <row r="21" spans="3:6" x14ac:dyDescent="0.2">
      <c r="C21" s="43">
        <v>0.1</v>
      </c>
      <c r="D21" s="44">
        <f t="shared" si="0"/>
        <v>0.46017216272297101</v>
      </c>
      <c r="E21" s="45">
        <f t="shared" si="0"/>
        <v>0.46017216272297101</v>
      </c>
      <c r="F21" s="46">
        <f t="shared" si="1"/>
        <v>460172.162722971</v>
      </c>
    </row>
    <row r="22" spans="3:6" x14ac:dyDescent="0.2">
      <c r="C22" s="43">
        <v>0.2</v>
      </c>
      <c r="D22" s="44">
        <f t="shared" si="0"/>
        <v>0.42074029056089701</v>
      </c>
      <c r="E22" s="45">
        <f t="shared" si="0"/>
        <v>0.42074029056089701</v>
      </c>
      <c r="F22" s="46">
        <f t="shared" si="1"/>
        <v>420740.29056089703</v>
      </c>
    </row>
    <row r="23" spans="3:6" x14ac:dyDescent="0.2">
      <c r="C23" s="43">
        <v>0.3</v>
      </c>
      <c r="D23" s="44">
        <f t="shared" si="0"/>
        <v>0.38208857781104733</v>
      </c>
      <c r="E23" s="45">
        <f t="shared" si="0"/>
        <v>0.38208857781104733</v>
      </c>
      <c r="F23" s="46">
        <f t="shared" si="1"/>
        <v>382088.57781104732</v>
      </c>
    </row>
    <row r="24" spans="3:6" x14ac:dyDescent="0.2">
      <c r="C24" s="43">
        <v>0.4</v>
      </c>
      <c r="D24" s="44">
        <f t="shared" si="0"/>
        <v>0.34457825838967571</v>
      </c>
      <c r="E24" s="45">
        <f t="shared" si="0"/>
        <v>0.34457825838967571</v>
      </c>
      <c r="F24" s="46">
        <f t="shared" si="1"/>
        <v>344578.2583896757</v>
      </c>
    </row>
    <row r="25" spans="3:6" x14ac:dyDescent="0.2">
      <c r="C25" s="43">
        <v>0.5</v>
      </c>
      <c r="D25" s="44">
        <f t="shared" si="0"/>
        <v>0.30853753872598688</v>
      </c>
      <c r="E25" s="45">
        <f t="shared" si="0"/>
        <v>0.30853753872598688</v>
      </c>
      <c r="F25" s="46">
        <f t="shared" si="1"/>
        <v>308537.5387259869</v>
      </c>
    </row>
    <row r="26" spans="3:6" x14ac:dyDescent="0.2">
      <c r="C26" s="43">
        <v>0.6</v>
      </c>
      <c r="D26" s="44">
        <f t="shared" si="0"/>
        <v>0.27425311775007355</v>
      </c>
      <c r="E26" s="45">
        <f t="shared" si="0"/>
        <v>0.27425311775007355</v>
      </c>
      <c r="F26" s="46">
        <f t="shared" si="1"/>
        <v>274253.11775007355</v>
      </c>
    </row>
    <row r="27" spans="3:6" x14ac:dyDescent="0.2">
      <c r="C27" s="43">
        <v>0.7</v>
      </c>
      <c r="D27" s="44">
        <f t="shared" si="0"/>
        <v>0.24196365222307303</v>
      </c>
      <c r="E27" s="45">
        <f t="shared" si="0"/>
        <v>0.24196365222307303</v>
      </c>
      <c r="F27" s="46">
        <f t="shared" si="1"/>
        <v>241963.65222307303</v>
      </c>
    </row>
    <row r="28" spans="3:6" x14ac:dyDescent="0.2">
      <c r="C28" s="43">
        <v>0.8</v>
      </c>
      <c r="D28" s="44">
        <f t="shared" ref="D28:E47" si="2">1-NORMSDIST($C28)</f>
        <v>0.21185539858339664</v>
      </c>
      <c r="E28" s="45">
        <f t="shared" si="2"/>
        <v>0.21185539858339664</v>
      </c>
      <c r="F28" s="46">
        <f t="shared" si="1"/>
        <v>211855.39858339663</v>
      </c>
    </row>
    <row r="29" spans="3:6" x14ac:dyDescent="0.2">
      <c r="C29" s="43">
        <v>0.9</v>
      </c>
      <c r="D29" s="44">
        <f t="shared" si="2"/>
        <v>0.18406012534675953</v>
      </c>
      <c r="E29" s="45">
        <f t="shared" si="2"/>
        <v>0.18406012534675953</v>
      </c>
      <c r="F29" s="46">
        <f t="shared" si="1"/>
        <v>184060.12534675954</v>
      </c>
    </row>
    <row r="30" spans="3:6" x14ac:dyDescent="0.2">
      <c r="C30" s="43">
        <v>1</v>
      </c>
      <c r="D30" s="44">
        <f t="shared" si="2"/>
        <v>0.15865525393145696</v>
      </c>
      <c r="E30" s="45">
        <f t="shared" si="2"/>
        <v>0.15865525393145696</v>
      </c>
      <c r="F30" s="46">
        <f t="shared" si="1"/>
        <v>158655.25393145697</v>
      </c>
    </row>
    <row r="31" spans="3:6" x14ac:dyDescent="0.2">
      <c r="C31" s="43">
        <v>1.1000000000000001</v>
      </c>
      <c r="D31" s="44">
        <f t="shared" si="2"/>
        <v>0.13566606094638267</v>
      </c>
      <c r="E31" s="45">
        <f t="shared" si="2"/>
        <v>0.13566606094638267</v>
      </c>
      <c r="F31" s="46">
        <f t="shared" si="1"/>
        <v>135666.06094638267</v>
      </c>
    </row>
    <row r="32" spans="3:6" x14ac:dyDescent="0.2">
      <c r="C32" s="43">
        <v>1.2</v>
      </c>
      <c r="D32" s="44">
        <f t="shared" si="2"/>
        <v>0.11506967022170822</v>
      </c>
      <c r="E32" s="45">
        <f t="shared" si="2"/>
        <v>0.11506967022170822</v>
      </c>
      <c r="F32" s="46">
        <f t="shared" si="1"/>
        <v>115069.67022170822</v>
      </c>
    </row>
    <row r="33" spans="3:6" x14ac:dyDescent="0.2">
      <c r="C33" s="43">
        <v>1.3</v>
      </c>
      <c r="D33" s="47">
        <f t="shared" si="2"/>
        <v>9.6800484585610302E-2</v>
      </c>
      <c r="E33" s="45">
        <f t="shared" si="2"/>
        <v>9.6800484585610302E-2</v>
      </c>
      <c r="F33" s="46">
        <f t="shared" si="1"/>
        <v>96800.484585610306</v>
      </c>
    </row>
    <row r="34" spans="3:6" x14ac:dyDescent="0.2">
      <c r="C34" s="43">
        <v>1.4</v>
      </c>
      <c r="D34" s="47">
        <f t="shared" si="2"/>
        <v>8.0756659233771066E-2</v>
      </c>
      <c r="E34" s="45">
        <f t="shared" si="2"/>
        <v>8.0756659233771066E-2</v>
      </c>
      <c r="F34" s="46">
        <f t="shared" si="1"/>
        <v>80756.659233771061</v>
      </c>
    </row>
    <row r="35" spans="3:6" x14ac:dyDescent="0.2">
      <c r="C35" s="43">
        <v>1.5</v>
      </c>
      <c r="D35" s="47">
        <f t="shared" si="2"/>
        <v>6.6807201268858085E-2</v>
      </c>
      <c r="E35" s="45">
        <f t="shared" si="2"/>
        <v>6.6807201268858085E-2</v>
      </c>
      <c r="F35" s="46">
        <f t="shared" si="1"/>
        <v>66807.201268858087</v>
      </c>
    </row>
    <row r="36" spans="3:6" x14ac:dyDescent="0.2">
      <c r="C36" s="43">
        <v>1.6</v>
      </c>
      <c r="D36" s="47">
        <f t="shared" si="2"/>
        <v>5.4799291699557995E-2</v>
      </c>
      <c r="E36" s="45">
        <f t="shared" si="2"/>
        <v>5.4799291699557995E-2</v>
      </c>
      <c r="F36" s="46">
        <f t="shared" si="1"/>
        <v>54799.291699557994</v>
      </c>
    </row>
    <row r="37" spans="3:6" x14ac:dyDescent="0.2">
      <c r="C37" s="43">
        <v>1.7</v>
      </c>
      <c r="D37" s="47">
        <f t="shared" si="2"/>
        <v>4.4565462758543006E-2</v>
      </c>
      <c r="E37" s="45">
        <f t="shared" si="2"/>
        <v>4.4565462758543006E-2</v>
      </c>
      <c r="F37" s="46">
        <f t="shared" si="1"/>
        <v>44565.462758543006</v>
      </c>
    </row>
    <row r="38" spans="3:6" x14ac:dyDescent="0.2">
      <c r="C38" s="43">
        <v>1.8</v>
      </c>
      <c r="D38" s="47">
        <f t="shared" si="2"/>
        <v>3.5930319112925768E-2</v>
      </c>
      <c r="E38" s="45">
        <f t="shared" si="2"/>
        <v>3.5930319112925768E-2</v>
      </c>
      <c r="F38" s="46">
        <f t="shared" si="1"/>
        <v>35930.319112925768</v>
      </c>
    </row>
    <row r="39" spans="3:6" x14ac:dyDescent="0.2">
      <c r="C39" s="43">
        <v>1.9</v>
      </c>
      <c r="D39" s="47">
        <f t="shared" si="2"/>
        <v>2.8716559816001852E-2</v>
      </c>
      <c r="E39" s="45">
        <f t="shared" si="2"/>
        <v>2.8716559816001852E-2</v>
      </c>
      <c r="F39" s="46">
        <f t="shared" si="1"/>
        <v>28716.559816001853</v>
      </c>
    </row>
    <row r="40" spans="3:6" x14ac:dyDescent="0.2">
      <c r="C40" s="43">
        <v>2</v>
      </c>
      <c r="D40" s="47">
        <f t="shared" si="2"/>
        <v>2.2750131948179209E-2</v>
      </c>
      <c r="E40" s="45">
        <f t="shared" si="2"/>
        <v>2.2750131948179209E-2</v>
      </c>
      <c r="F40" s="46">
        <f t="shared" ref="F40:F66" si="3">D40*1000000</f>
        <v>22750.131948179209</v>
      </c>
    </row>
    <row r="41" spans="3:6" x14ac:dyDescent="0.2">
      <c r="C41" s="43">
        <v>2.1</v>
      </c>
      <c r="D41" s="47">
        <f t="shared" si="2"/>
        <v>1.7864420562816563E-2</v>
      </c>
      <c r="E41" s="45">
        <f t="shared" si="2"/>
        <v>1.7864420562816563E-2</v>
      </c>
      <c r="F41" s="46">
        <f t="shared" si="3"/>
        <v>17864.420562816562</v>
      </c>
    </row>
    <row r="42" spans="3:6" x14ac:dyDescent="0.2">
      <c r="C42" s="43">
        <v>2.2000000000000002</v>
      </c>
      <c r="D42" s="47">
        <f t="shared" si="2"/>
        <v>1.390344751349859E-2</v>
      </c>
      <c r="E42" s="45">
        <f t="shared" si="2"/>
        <v>1.390344751349859E-2</v>
      </c>
      <c r="F42" s="46">
        <f t="shared" si="3"/>
        <v>13903.44751349859</v>
      </c>
    </row>
    <row r="43" spans="3:6" x14ac:dyDescent="0.2">
      <c r="C43" s="43">
        <v>2.2999999999999998</v>
      </c>
      <c r="D43" s="47">
        <f t="shared" si="2"/>
        <v>1.0724110021675837E-2</v>
      </c>
      <c r="E43" s="45">
        <f t="shared" si="2"/>
        <v>1.0724110021675837E-2</v>
      </c>
      <c r="F43" s="46">
        <f t="shared" si="3"/>
        <v>10724.110021675837</v>
      </c>
    </row>
    <row r="44" spans="3:6" x14ac:dyDescent="0.2">
      <c r="C44" s="43">
        <v>2.4</v>
      </c>
      <c r="D44" s="47">
        <f t="shared" si="2"/>
        <v>8.1975359245961554E-3</v>
      </c>
      <c r="E44" s="45">
        <f t="shared" si="2"/>
        <v>8.1975359245961554E-3</v>
      </c>
      <c r="F44" s="46">
        <f t="shared" si="3"/>
        <v>8197.5359245961554</v>
      </c>
    </row>
    <row r="45" spans="3:6" x14ac:dyDescent="0.2">
      <c r="C45" s="43">
        <v>2.5</v>
      </c>
      <c r="D45" s="47">
        <f t="shared" si="2"/>
        <v>6.2096653257761592E-3</v>
      </c>
      <c r="E45" s="45">
        <f t="shared" si="2"/>
        <v>6.2096653257761592E-3</v>
      </c>
      <c r="F45" s="46">
        <f t="shared" si="3"/>
        <v>6209.6653257761591</v>
      </c>
    </row>
    <row r="46" spans="3:6" x14ac:dyDescent="0.2">
      <c r="C46" s="43">
        <v>2.6</v>
      </c>
      <c r="D46" s="48">
        <f t="shared" si="2"/>
        <v>4.661188023718732E-3</v>
      </c>
      <c r="E46" s="45">
        <f t="shared" si="2"/>
        <v>4.661188023718732E-3</v>
      </c>
      <c r="F46" s="46">
        <f t="shared" si="3"/>
        <v>4661.1880237187315</v>
      </c>
    </row>
    <row r="47" spans="3:6" x14ac:dyDescent="0.2">
      <c r="C47" s="43">
        <v>2.7</v>
      </c>
      <c r="D47" s="48">
        <f t="shared" si="2"/>
        <v>3.4669738030406183E-3</v>
      </c>
      <c r="E47" s="45">
        <f t="shared" si="2"/>
        <v>3.4669738030406183E-3</v>
      </c>
      <c r="F47" s="46">
        <f t="shared" si="3"/>
        <v>3466.9738030406183</v>
      </c>
    </row>
    <row r="48" spans="3:6" x14ac:dyDescent="0.2">
      <c r="C48" s="43">
        <v>2.8</v>
      </c>
      <c r="D48" s="48">
        <f t="shared" ref="D48:E66" si="4">1-NORMSDIST($C48)</f>
        <v>2.5551303304279793E-3</v>
      </c>
      <c r="E48" s="45">
        <f t="shared" si="4"/>
        <v>2.5551303304279793E-3</v>
      </c>
      <c r="F48" s="46">
        <f t="shared" si="3"/>
        <v>2555.1303304279795</v>
      </c>
    </row>
    <row r="49" spans="3:6" x14ac:dyDescent="0.2">
      <c r="C49" s="43">
        <v>2.9</v>
      </c>
      <c r="D49" s="48">
        <f t="shared" si="4"/>
        <v>1.8658133003840449E-3</v>
      </c>
      <c r="E49" s="45">
        <f t="shared" si="4"/>
        <v>1.8658133003840449E-3</v>
      </c>
      <c r="F49" s="46">
        <f t="shared" si="3"/>
        <v>1865.8133003840449</v>
      </c>
    </row>
    <row r="50" spans="3:6" x14ac:dyDescent="0.2">
      <c r="C50" s="43">
        <v>3</v>
      </c>
      <c r="D50" s="48">
        <f t="shared" si="4"/>
        <v>1.3498980316301035E-3</v>
      </c>
      <c r="E50" s="45">
        <f t="shared" si="4"/>
        <v>1.3498980316301035E-3</v>
      </c>
      <c r="F50" s="46">
        <f t="shared" si="3"/>
        <v>1349.8980316301036</v>
      </c>
    </row>
    <row r="51" spans="3:6" x14ac:dyDescent="0.2">
      <c r="C51" s="43">
        <v>3.2</v>
      </c>
      <c r="D51" s="48">
        <f t="shared" si="4"/>
        <v>6.8713793791586042E-4</v>
      </c>
      <c r="E51" s="45">
        <f t="shared" si="4"/>
        <v>6.8713793791586042E-4</v>
      </c>
      <c r="F51" s="46">
        <f t="shared" si="3"/>
        <v>687.13793791586045</v>
      </c>
    </row>
    <row r="52" spans="3:6" x14ac:dyDescent="0.2">
      <c r="C52" s="43">
        <v>3.4</v>
      </c>
      <c r="D52" s="48">
        <f t="shared" si="4"/>
        <v>3.3692926567685522E-4</v>
      </c>
      <c r="E52" s="45">
        <f t="shared" si="4"/>
        <v>3.3692926567685522E-4</v>
      </c>
      <c r="F52" s="46">
        <f t="shared" si="3"/>
        <v>336.92926567685521</v>
      </c>
    </row>
    <row r="53" spans="3:6" x14ac:dyDescent="0.2">
      <c r="C53" s="43">
        <v>3.6</v>
      </c>
      <c r="D53" s="48">
        <f t="shared" si="4"/>
        <v>1.5910859015755285E-4</v>
      </c>
      <c r="E53" s="45">
        <f t="shared" si="4"/>
        <v>1.5910859015755285E-4</v>
      </c>
      <c r="F53" s="46">
        <f t="shared" si="3"/>
        <v>159.10859015755284</v>
      </c>
    </row>
    <row r="54" spans="3:6" x14ac:dyDescent="0.2">
      <c r="C54" s="43">
        <v>3.8</v>
      </c>
      <c r="D54" s="48">
        <f t="shared" si="4"/>
        <v>7.2348043925085648E-5</v>
      </c>
      <c r="E54" s="45">
        <f t="shared" si="4"/>
        <v>7.2348043925085648E-5</v>
      </c>
      <c r="F54" s="46">
        <f t="shared" si="3"/>
        <v>72.348043925085648</v>
      </c>
    </row>
    <row r="55" spans="3:6" x14ac:dyDescent="0.2">
      <c r="C55" s="43">
        <v>4</v>
      </c>
      <c r="D55" s="48">
        <f t="shared" si="4"/>
        <v>3.1671241833119979E-5</v>
      </c>
      <c r="E55" s="45">
        <f t="shared" si="4"/>
        <v>3.1671241833119979E-5</v>
      </c>
      <c r="F55" s="46">
        <f t="shared" si="3"/>
        <v>31.671241833119979</v>
      </c>
    </row>
    <row r="56" spans="3:6" x14ac:dyDescent="0.2">
      <c r="C56" s="43">
        <v>4.2</v>
      </c>
      <c r="D56" s="48">
        <f t="shared" si="4"/>
        <v>1.3345749015902797E-5</v>
      </c>
      <c r="E56" s="45">
        <f t="shared" si="4"/>
        <v>1.3345749015902797E-5</v>
      </c>
      <c r="F56" s="46">
        <f t="shared" si="3"/>
        <v>13.345749015902797</v>
      </c>
    </row>
    <row r="57" spans="3:6" x14ac:dyDescent="0.2">
      <c r="C57" s="43">
        <v>4.4000000000000004</v>
      </c>
      <c r="D57" s="48">
        <f t="shared" si="4"/>
        <v>5.4125439077346016E-6</v>
      </c>
      <c r="E57" s="45">
        <f t="shared" si="4"/>
        <v>5.4125439077346016E-6</v>
      </c>
      <c r="F57" s="49">
        <f t="shared" si="3"/>
        <v>5.4125439077346016</v>
      </c>
    </row>
    <row r="58" spans="3:6" x14ac:dyDescent="0.2">
      <c r="C58" s="50">
        <v>4.5</v>
      </c>
      <c r="D58" s="51">
        <f t="shared" si="4"/>
        <v>3.3976731247387093E-6</v>
      </c>
      <c r="E58" s="52">
        <f t="shared" si="4"/>
        <v>3.3976731247387093E-6</v>
      </c>
      <c r="F58" s="53">
        <f t="shared" si="3"/>
        <v>3.3976731247387093</v>
      </c>
    </row>
    <row r="59" spans="3:6" x14ac:dyDescent="0.2">
      <c r="C59" s="43">
        <v>4.5999999999999996</v>
      </c>
      <c r="D59" s="48">
        <f t="shared" si="4"/>
        <v>2.1124547024964357E-6</v>
      </c>
      <c r="E59" s="45">
        <f t="shared" si="4"/>
        <v>2.1124547024964357E-6</v>
      </c>
      <c r="F59" s="49">
        <f t="shared" si="3"/>
        <v>2.1124547024964357</v>
      </c>
    </row>
    <row r="60" spans="3:6" x14ac:dyDescent="0.2">
      <c r="C60" s="43">
        <v>4.8</v>
      </c>
      <c r="D60" s="48">
        <f t="shared" si="4"/>
        <v>7.9332815194899098E-7</v>
      </c>
      <c r="E60" s="45">
        <f t="shared" si="4"/>
        <v>7.9332815194899098E-7</v>
      </c>
      <c r="F60" s="49">
        <f t="shared" si="3"/>
        <v>0.79332815194899098</v>
      </c>
    </row>
    <row r="61" spans="3:6" x14ac:dyDescent="0.2">
      <c r="C61" s="43">
        <v>5</v>
      </c>
      <c r="D61" s="48">
        <f t="shared" si="4"/>
        <v>2.8665157192353519E-7</v>
      </c>
      <c r="E61" s="45">
        <f t="shared" si="4"/>
        <v>2.8665157192353519E-7</v>
      </c>
      <c r="F61" s="49">
        <f t="shared" si="3"/>
        <v>0.28665157192353519</v>
      </c>
    </row>
    <row r="62" spans="3:6" x14ac:dyDescent="0.2">
      <c r="C62" s="43">
        <v>5.2</v>
      </c>
      <c r="D62" s="48">
        <f t="shared" si="4"/>
        <v>9.9644263173992442E-8</v>
      </c>
      <c r="E62" s="45">
        <f t="shared" si="4"/>
        <v>9.9644263173992442E-8</v>
      </c>
      <c r="F62" s="49">
        <f t="shared" si="3"/>
        <v>9.9644263173992442E-2</v>
      </c>
    </row>
    <row r="63" spans="3:6" x14ac:dyDescent="0.2">
      <c r="C63" s="43">
        <v>5.4</v>
      </c>
      <c r="D63" s="48">
        <f t="shared" si="4"/>
        <v>3.3320448511453549E-8</v>
      </c>
      <c r="E63" s="45">
        <f t="shared" si="4"/>
        <v>3.3320448511453549E-8</v>
      </c>
      <c r="F63" s="49">
        <f t="shared" si="3"/>
        <v>3.3320448511453549E-2</v>
      </c>
    </row>
    <row r="64" spans="3:6" x14ac:dyDescent="0.2">
      <c r="C64" s="43">
        <v>5.6</v>
      </c>
      <c r="D64" s="48">
        <f t="shared" si="4"/>
        <v>1.0717590259723409E-8</v>
      </c>
      <c r="E64" s="45">
        <f t="shared" si="4"/>
        <v>1.0717590259723409E-8</v>
      </c>
      <c r="F64" s="49">
        <f t="shared" si="3"/>
        <v>1.0717590259723409E-2</v>
      </c>
    </row>
    <row r="65" spans="3:6" x14ac:dyDescent="0.2">
      <c r="C65" s="43">
        <v>5.8</v>
      </c>
      <c r="D65" s="48">
        <f t="shared" si="4"/>
        <v>3.3157460110899706E-9</v>
      </c>
      <c r="E65" s="45">
        <f t="shared" si="4"/>
        <v>3.3157460110899706E-9</v>
      </c>
      <c r="F65" s="49">
        <f t="shared" si="3"/>
        <v>3.3157460110899706E-3</v>
      </c>
    </row>
    <row r="66" spans="3:6" ht="13.5" thickBot="1" x14ac:dyDescent="0.25">
      <c r="C66" s="54">
        <v>6</v>
      </c>
      <c r="D66" s="55">
        <f t="shared" si="4"/>
        <v>9.8658770042447941E-10</v>
      </c>
      <c r="E66" s="56">
        <f t="shared" si="4"/>
        <v>9.8658770042447941E-10</v>
      </c>
      <c r="F66" s="57">
        <f t="shared" si="3"/>
        <v>9.8658770042447941E-4</v>
      </c>
    </row>
  </sheetData>
  <mergeCells count="1">
    <mergeCell ref="B2:D2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8"/>
  <sheetViews>
    <sheetView zoomScale="70" workbookViewId="0">
      <selection activeCell="B2" sqref="B2:D2"/>
    </sheetView>
  </sheetViews>
  <sheetFormatPr defaultRowHeight="12.75" x14ac:dyDescent="0.2"/>
  <cols>
    <col min="1" max="1" width="0.140625" style="7" customWidth="1"/>
    <col min="2" max="2" width="5.42578125" style="7" customWidth="1"/>
    <col min="3" max="3" width="29" style="9" customWidth="1"/>
    <col min="4" max="4" width="27.85546875" style="9" customWidth="1"/>
    <col min="5" max="5" width="27" style="9" customWidth="1"/>
    <col min="6" max="6" width="26.28515625" style="9" customWidth="1"/>
    <col min="7" max="16384" width="9.140625" style="7"/>
  </cols>
  <sheetData>
    <row r="1" spans="2:7" ht="0.75" customHeight="1" thickBot="1" x14ac:dyDescent="0.25"/>
    <row r="2" spans="2:7" s="1" customFormat="1" ht="36" customHeight="1" thickBot="1" x14ac:dyDescent="0.45">
      <c r="B2" s="89"/>
      <c r="C2" s="90"/>
      <c r="D2" s="91"/>
      <c r="E2" s="2"/>
      <c r="F2" s="2"/>
    </row>
    <row r="3" spans="2:7" s="3" customFormat="1" ht="39.75" customHeight="1" x14ac:dyDescent="0.2">
      <c r="B3" s="15" t="s">
        <v>7</v>
      </c>
      <c r="C3" s="4"/>
      <c r="D3" s="4"/>
      <c r="E3" s="4"/>
      <c r="F3" s="4"/>
    </row>
    <row r="4" spans="2:7" s="3" customFormat="1" ht="8.25" customHeight="1" x14ac:dyDescent="0.2">
      <c r="B4" s="5"/>
      <c r="C4" s="4"/>
      <c r="D4" s="4"/>
      <c r="E4" s="4"/>
      <c r="F4" s="4"/>
    </row>
    <row r="5" spans="2:7" s="3" customFormat="1" ht="13.5" thickBot="1" x14ac:dyDescent="0.25">
      <c r="C5" s="4"/>
      <c r="D5" s="4"/>
      <c r="E5" s="4"/>
      <c r="F5" s="4"/>
    </row>
    <row r="6" spans="2:7" s="6" customFormat="1" ht="39.75" customHeight="1" thickBot="1" x14ac:dyDescent="0.25">
      <c r="C6" s="58" t="s">
        <v>2</v>
      </c>
      <c r="D6" s="58" t="s">
        <v>4</v>
      </c>
      <c r="E6" s="58" t="s">
        <v>3</v>
      </c>
      <c r="F6" s="58" t="s">
        <v>5</v>
      </c>
      <c r="G6" s="8"/>
    </row>
    <row r="7" spans="2:7" x14ac:dyDescent="0.2">
      <c r="C7" s="59">
        <v>-6</v>
      </c>
      <c r="D7" s="60">
        <f t="shared" ref="D7:E26" si="0">1-NORMSDIST($C7)</f>
        <v>0.9999999990134123</v>
      </c>
      <c r="E7" s="61">
        <f t="shared" si="0"/>
        <v>0.9999999990134123</v>
      </c>
      <c r="F7" s="62">
        <f t="shared" ref="F7:F38" si="1">D7*1000000</f>
        <v>999999.99901341228</v>
      </c>
    </row>
    <row r="8" spans="2:7" x14ac:dyDescent="0.2">
      <c r="C8" s="63">
        <v>-5.95</v>
      </c>
      <c r="D8" s="64">
        <f t="shared" si="0"/>
        <v>0.99999999865928757</v>
      </c>
      <c r="E8" s="65">
        <f t="shared" si="0"/>
        <v>0.99999999865928757</v>
      </c>
      <c r="F8" s="66">
        <f t="shared" si="1"/>
        <v>999999.99865928758</v>
      </c>
    </row>
    <row r="9" spans="2:7" x14ac:dyDescent="0.2">
      <c r="C9" s="63">
        <v>-5.9</v>
      </c>
      <c r="D9" s="64">
        <f t="shared" si="0"/>
        <v>0.99999999818249219</v>
      </c>
      <c r="E9" s="65">
        <f t="shared" si="0"/>
        <v>0.99999999818249219</v>
      </c>
      <c r="F9" s="66">
        <f t="shared" si="1"/>
        <v>999999.99818249221</v>
      </c>
    </row>
    <row r="10" spans="2:7" x14ac:dyDescent="0.2">
      <c r="C10" s="63">
        <v>-5.85</v>
      </c>
      <c r="D10" s="64">
        <f t="shared" si="0"/>
        <v>0.99999999754213498</v>
      </c>
      <c r="E10" s="65">
        <f t="shared" si="0"/>
        <v>0.99999999754213498</v>
      </c>
      <c r="F10" s="66">
        <f t="shared" si="1"/>
        <v>999999.99754213495</v>
      </c>
    </row>
    <row r="11" spans="2:7" x14ac:dyDescent="0.2">
      <c r="C11" s="63">
        <v>-5.8</v>
      </c>
      <c r="D11" s="64">
        <f t="shared" si="0"/>
        <v>0.99999999668425399</v>
      </c>
      <c r="E11" s="65">
        <f t="shared" si="0"/>
        <v>0.99999999668425399</v>
      </c>
      <c r="F11" s="66">
        <f t="shared" si="1"/>
        <v>999999.99668425403</v>
      </c>
    </row>
    <row r="12" spans="2:7" x14ac:dyDescent="0.2">
      <c r="C12" s="63">
        <v>-5.75</v>
      </c>
      <c r="D12" s="64">
        <f t="shared" si="0"/>
        <v>0.99999999553782759</v>
      </c>
      <c r="E12" s="65">
        <f t="shared" si="0"/>
        <v>0.99999999553782759</v>
      </c>
      <c r="F12" s="66">
        <f t="shared" si="1"/>
        <v>999999.99553782761</v>
      </c>
    </row>
    <row r="13" spans="2:7" x14ac:dyDescent="0.2">
      <c r="C13" s="63">
        <v>-5.7</v>
      </c>
      <c r="D13" s="64">
        <f t="shared" si="0"/>
        <v>0.99999999400962858</v>
      </c>
      <c r="E13" s="65">
        <f t="shared" si="0"/>
        <v>0.99999999400962858</v>
      </c>
      <c r="F13" s="66">
        <f t="shared" si="1"/>
        <v>999999.99400962854</v>
      </c>
    </row>
    <row r="14" spans="2:7" x14ac:dyDescent="0.2">
      <c r="C14" s="63">
        <v>-5.65</v>
      </c>
      <c r="D14" s="64">
        <f t="shared" si="0"/>
        <v>0.99999999197760814</v>
      </c>
      <c r="E14" s="65">
        <f t="shared" si="0"/>
        <v>0.99999999197760814</v>
      </c>
      <c r="F14" s="66">
        <f t="shared" si="1"/>
        <v>999999.99197760818</v>
      </c>
    </row>
    <row r="15" spans="2:7" x14ac:dyDescent="0.2">
      <c r="C15" s="63">
        <v>-5.6</v>
      </c>
      <c r="D15" s="64">
        <f t="shared" si="0"/>
        <v>0.99999998928240974</v>
      </c>
      <c r="E15" s="65">
        <f t="shared" si="0"/>
        <v>0.99999998928240974</v>
      </c>
      <c r="F15" s="66">
        <f t="shared" si="1"/>
        <v>999999.98928240978</v>
      </c>
    </row>
    <row r="16" spans="2:7" x14ac:dyDescent="0.2">
      <c r="C16" s="63">
        <v>-5.55</v>
      </c>
      <c r="D16" s="64">
        <f t="shared" si="0"/>
        <v>0.99999998571652016</v>
      </c>
      <c r="E16" s="65">
        <f t="shared" si="0"/>
        <v>0.99999998571652016</v>
      </c>
      <c r="F16" s="66">
        <f t="shared" si="1"/>
        <v>999999.98571652011</v>
      </c>
    </row>
    <row r="17" spans="3:6" x14ac:dyDescent="0.2">
      <c r="C17" s="63">
        <v>-5.5</v>
      </c>
      <c r="D17" s="64">
        <f t="shared" si="0"/>
        <v>0.99999998101043752</v>
      </c>
      <c r="E17" s="65">
        <f t="shared" si="0"/>
        <v>0.99999998101043752</v>
      </c>
      <c r="F17" s="66">
        <f t="shared" si="1"/>
        <v>999999.98101043748</v>
      </c>
    </row>
    <row r="18" spans="3:6" x14ac:dyDescent="0.2">
      <c r="C18" s="63">
        <v>-5.45</v>
      </c>
      <c r="D18" s="64">
        <f t="shared" si="0"/>
        <v>0.99999997481508995</v>
      </c>
      <c r="E18" s="65">
        <f t="shared" si="0"/>
        <v>0.99999997481508995</v>
      </c>
      <c r="F18" s="66">
        <f t="shared" si="1"/>
        <v>999999.97481508995</v>
      </c>
    </row>
    <row r="19" spans="3:6" x14ac:dyDescent="0.2">
      <c r="C19" s="63">
        <v>-5.4</v>
      </c>
      <c r="D19" s="64">
        <f t="shared" si="0"/>
        <v>0.99999996667955149</v>
      </c>
      <c r="E19" s="65">
        <f t="shared" si="0"/>
        <v>0.99999996667955149</v>
      </c>
      <c r="F19" s="66">
        <f t="shared" si="1"/>
        <v>999999.96667955152</v>
      </c>
    </row>
    <row r="20" spans="3:6" x14ac:dyDescent="0.2">
      <c r="C20" s="63">
        <v>-5.35</v>
      </c>
      <c r="D20" s="64">
        <f t="shared" si="0"/>
        <v>0.99999995602288405</v>
      </c>
      <c r="E20" s="65">
        <f t="shared" si="0"/>
        <v>0.99999995602288405</v>
      </c>
      <c r="F20" s="66">
        <f t="shared" si="1"/>
        <v>999999.956022884</v>
      </c>
    </row>
    <row r="21" spans="3:6" x14ac:dyDescent="0.2">
      <c r="C21" s="63">
        <v>-5.3</v>
      </c>
      <c r="D21" s="64">
        <f t="shared" si="0"/>
        <v>0.99999994209865961</v>
      </c>
      <c r="E21" s="65">
        <f t="shared" si="0"/>
        <v>0.99999994209865961</v>
      </c>
      <c r="F21" s="66">
        <f t="shared" si="1"/>
        <v>999999.94209865958</v>
      </c>
    </row>
    <row r="22" spans="3:6" x14ac:dyDescent="0.2">
      <c r="C22" s="63">
        <v>-5.25</v>
      </c>
      <c r="D22" s="64">
        <f t="shared" si="0"/>
        <v>0.99999992395039483</v>
      </c>
      <c r="E22" s="65">
        <f t="shared" si="0"/>
        <v>0.99999992395039483</v>
      </c>
      <c r="F22" s="66">
        <f t="shared" si="1"/>
        <v>999999.92395039485</v>
      </c>
    </row>
    <row r="23" spans="3:6" x14ac:dyDescent="0.2">
      <c r="C23" s="63">
        <v>-5.2</v>
      </c>
      <c r="D23" s="64">
        <f t="shared" si="0"/>
        <v>0.99999990035573683</v>
      </c>
      <c r="E23" s="65">
        <f t="shared" si="0"/>
        <v>0.99999990035573683</v>
      </c>
      <c r="F23" s="66">
        <f t="shared" si="1"/>
        <v>999999.90035573684</v>
      </c>
    </row>
    <row r="24" spans="3:6" x14ac:dyDescent="0.2">
      <c r="C24" s="63">
        <v>-5.15</v>
      </c>
      <c r="D24" s="64">
        <f t="shared" si="0"/>
        <v>0.99999986975677047</v>
      </c>
      <c r="E24" s="65">
        <f t="shared" si="0"/>
        <v>0.99999986975677047</v>
      </c>
      <c r="F24" s="66">
        <f t="shared" si="1"/>
        <v>999999.86975677044</v>
      </c>
    </row>
    <row r="25" spans="3:6" x14ac:dyDescent="0.2">
      <c r="C25" s="63">
        <v>-5.0999999999999996</v>
      </c>
      <c r="D25" s="64">
        <f t="shared" si="0"/>
        <v>0.99999983017325933</v>
      </c>
      <c r="E25" s="65">
        <f t="shared" si="0"/>
        <v>0.99999983017325933</v>
      </c>
      <c r="F25" s="66">
        <f t="shared" si="1"/>
        <v>999999.83017325937</v>
      </c>
    </row>
    <row r="26" spans="3:6" x14ac:dyDescent="0.2">
      <c r="C26" s="63">
        <v>-5.05</v>
      </c>
      <c r="D26" s="64">
        <f t="shared" si="0"/>
        <v>0.99999977909496773</v>
      </c>
      <c r="E26" s="65">
        <f t="shared" si="0"/>
        <v>0.99999977909496773</v>
      </c>
      <c r="F26" s="66">
        <f t="shared" si="1"/>
        <v>999999.77909496776</v>
      </c>
    </row>
    <row r="27" spans="3:6" x14ac:dyDescent="0.2">
      <c r="C27" s="63">
        <v>-5</v>
      </c>
      <c r="D27" s="64">
        <f t="shared" ref="D27:E46" si="2">1-NORMSDIST($C27)</f>
        <v>0.99999971334842808</v>
      </c>
      <c r="E27" s="65">
        <f t="shared" si="2"/>
        <v>0.99999971334842808</v>
      </c>
      <c r="F27" s="66">
        <f t="shared" si="1"/>
        <v>999999.71334842802</v>
      </c>
    </row>
    <row r="28" spans="3:6" x14ac:dyDescent="0.2">
      <c r="C28" s="63">
        <v>-4.95</v>
      </c>
      <c r="D28" s="64">
        <f t="shared" si="2"/>
        <v>0.99999962893259209</v>
      </c>
      <c r="E28" s="65">
        <f t="shared" si="2"/>
        <v>0.99999962893259209</v>
      </c>
      <c r="F28" s="66">
        <f t="shared" si="1"/>
        <v>999999.62893259211</v>
      </c>
    </row>
    <row r="29" spans="3:6" x14ac:dyDescent="0.2">
      <c r="C29" s="63">
        <v>-4.9000000000000004</v>
      </c>
      <c r="D29" s="64">
        <f t="shared" si="2"/>
        <v>0.99999952081672339</v>
      </c>
      <c r="E29" s="65">
        <f t="shared" si="2"/>
        <v>0.99999952081672339</v>
      </c>
      <c r="F29" s="66">
        <f t="shared" si="1"/>
        <v>999999.52081672335</v>
      </c>
    </row>
    <row r="30" spans="3:6" x14ac:dyDescent="0.2">
      <c r="C30" s="63">
        <v>-4.8499999999999996</v>
      </c>
      <c r="D30" s="64">
        <f t="shared" si="2"/>
        <v>0.999999382692628</v>
      </c>
      <c r="E30" s="65">
        <f t="shared" si="2"/>
        <v>0.999999382692628</v>
      </c>
      <c r="F30" s="66">
        <f t="shared" si="1"/>
        <v>999999.38269262796</v>
      </c>
    </row>
    <row r="31" spans="3:6" x14ac:dyDescent="0.2">
      <c r="C31" s="63">
        <v>-4.8</v>
      </c>
      <c r="D31" s="64">
        <f t="shared" si="2"/>
        <v>0.99999920667184805</v>
      </c>
      <c r="E31" s="65">
        <f t="shared" si="2"/>
        <v>0.99999920667184805</v>
      </c>
      <c r="F31" s="66">
        <f t="shared" si="1"/>
        <v>999999.20667184808</v>
      </c>
    </row>
    <row r="32" spans="3:6" x14ac:dyDescent="0.2">
      <c r="C32" s="63">
        <v>-4.75</v>
      </c>
      <c r="D32" s="64">
        <f t="shared" si="2"/>
        <v>0.99999898291675748</v>
      </c>
      <c r="E32" s="65">
        <f t="shared" si="2"/>
        <v>0.99999898291675748</v>
      </c>
      <c r="F32" s="66">
        <f t="shared" si="1"/>
        <v>999998.98291675746</v>
      </c>
    </row>
    <row r="33" spans="3:6" x14ac:dyDescent="0.2">
      <c r="C33" s="63">
        <v>-4.7</v>
      </c>
      <c r="D33" s="64">
        <f t="shared" si="2"/>
        <v>0.99999869919254614</v>
      </c>
      <c r="E33" s="65">
        <f t="shared" si="2"/>
        <v>0.99999869919254614</v>
      </c>
      <c r="F33" s="66">
        <f t="shared" si="1"/>
        <v>999998.69919254619</v>
      </c>
    </row>
    <row r="34" spans="3:6" x14ac:dyDescent="0.2">
      <c r="C34" s="63">
        <v>-4.6500000000000004</v>
      </c>
      <c r="D34" s="64">
        <f t="shared" si="2"/>
        <v>0.99999834032485568</v>
      </c>
      <c r="E34" s="65">
        <f t="shared" si="2"/>
        <v>0.99999834032485568</v>
      </c>
      <c r="F34" s="66">
        <f t="shared" si="1"/>
        <v>999998.34032485564</v>
      </c>
    </row>
    <row r="35" spans="3:6" x14ac:dyDescent="0.2">
      <c r="C35" s="63">
        <v>-4.5999999999999996</v>
      </c>
      <c r="D35" s="64">
        <f t="shared" si="2"/>
        <v>0.9999978875452975</v>
      </c>
      <c r="E35" s="65">
        <f t="shared" si="2"/>
        <v>0.9999978875452975</v>
      </c>
      <c r="F35" s="66">
        <f t="shared" si="1"/>
        <v>999997.8875452975</v>
      </c>
    </row>
    <row r="36" spans="3:6" x14ac:dyDescent="0.2">
      <c r="C36" s="63">
        <v>-4.5500000000000096</v>
      </c>
      <c r="D36" s="64">
        <f t="shared" si="2"/>
        <v>0.9999973177042204</v>
      </c>
      <c r="E36" s="65">
        <f t="shared" si="2"/>
        <v>0.9999973177042204</v>
      </c>
      <c r="F36" s="66">
        <f t="shared" si="1"/>
        <v>999997.31770422042</v>
      </c>
    </row>
    <row r="37" spans="3:6" x14ac:dyDescent="0.2">
      <c r="C37" s="63">
        <v>-4.5000000000000098</v>
      </c>
      <c r="D37" s="64">
        <f t="shared" si="2"/>
        <v>0.99999660232687526</v>
      </c>
      <c r="E37" s="65">
        <f t="shared" si="2"/>
        <v>0.99999660232687526</v>
      </c>
      <c r="F37" s="66">
        <f t="shared" si="1"/>
        <v>999996.6023268752</v>
      </c>
    </row>
    <row r="38" spans="3:6" x14ac:dyDescent="0.2">
      <c r="C38" s="63">
        <v>-4.4500000000000099</v>
      </c>
      <c r="D38" s="64">
        <f t="shared" si="2"/>
        <v>0.99999570648553004</v>
      </c>
      <c r="E38" s="65">
        <f t="shared" si="2"/>
        <v>0.99999570648553004</v>
      </c>
      <c r="F38" s="66">
        <f t="shared" si="1"/>
        <v>999995.70648553001</v>
      </c>
    </row>
    <row r="39" spans="3:6" x14ac:dyDescent="0.2">
      <c r="C39" s="63">
        <v>-4.4000000000000101</v>
      </c>
      <c r="D39" s="64">
        <f t="shared" si="2"/>
        <v>0.99999458745609227</v>
      </c>
      <c r="E39" s="65">
        <f t="shared" si="2"/>
        <v>0.99999458745609227</v>
      </c>
      <c r="F39" s="66">
        <f t="shared" ref="F39:F97" si="3">D39*1000000</f>
        <v>999994.58745609224</v>
      </c>
    </row>
    <row r="40" spans="3:6" x14ac:dyDescent="0.2">
      <c r="C40" s="63">
        <v>-4.3500000000000103</v>
      </c>
      <c r="D40" s="64">
        <f t="shared" si="2"/>
        <v>0.99999319312340063</v>
      </c>
      <c r="E40" s="65">
        <f t="shared" si="2"/>
        <v>0.99999319312340063</v>
      </c>
      <c r="F40" s="66">
        <f t="shared" si="3"/>
        <v>999993.19312340068</v>
      </c>
    </row>
    <row r="41" spans="3:6" x14ac:dyDescent="0.2">
      <c r="C41" s="63">
        <v>-4.3000000000000096</v>
      </c>
      <c r="D41" s="64">
        <f t="shared" si="2"/>
        <v>0.99999146009452899</v>
      </c>
      <c r="E41" s="65">
        <f t="shared" si="2"/>
        <v>0.99999146009452899</v>
      </c>
      <c r="F41" s="66">
        <f t="shared" si="3"/>
        <v>999991.46009452897</v>
      </c>
    </row>
    <row r="42" spans="3:6" x14ac:dyDescent="0.2">
      <c r="C42" s="63">
        <v>-4.2500000000000098</v>
      </c>
      <c r="D42" s="64">
        <f t="shared" si="2"/>
        <v>0.9999893114742251</v>
      </c>
      <c r="E42" s="65">
        <f t="shared" si="2"/>
        <v>0.9999893114742251</v>
      </c>
      <c r="F42" s="66">
        <f t="shared" si="3"/>
        <v>999989.31147422513</v>
      </c>
    </row>
    <row r="43" spans="3:6" x14ac:dyDescent="0.2">
      <c r="C43" s="63">
        <v>-4.2000000000000099</v>
      </c>
      <c r="D43" s="64">
        <f t="shared" si="2"/>
        <v>0.9999866542509841</v>
      </c>
      <c r="E43" s="65">
        <f t="shared" si="2"/>
        <v>0.9999866542509841</v>
      </c>
      <c r="F43" s="66">
        <f t="shared" si="3"/>
        <v>999986.65425098408</v>
      </c>
    </row>
    <row r="44" spans="3:6" x14ac:dyDescent="0.2">
      <c r="C44" s="63">
        <v>-4.1500000000000101</v>
      </c>
      <c r="D44" s="64">
        <f t="shared" si="2"/>
        <v>0.99998337623627032</v>
      </c>
      <c r="E44" s="65">
        <f t="shared" si="2"/>
        <v>0.99998337623627032</v>
      </c>
      <c r="F44" s="66">
        <f t="shared" si="3"/>
        <v>999983.3762362703</v>
      </c>
    </row>
    <row r="45" spans="3:6" x14ac:dyDescent="0.2">
      <c r="C45" s="63">
        <v>-4.1000000000000103</v>
      </c>
      <c r="D45" s="64">
        <f t="shared" si="2"/>
        <v>0.99997934249308751</v>
      </c>
      <c r="E45" s="65">
        <f t="shared" si="2"/>
        <v>0.99997934249308751</v>
      </c>
      <c r="F45" s="66">
        <f t="shared" si="3"/>
        <v>999979.34249308752</v>
      </c>
    </row>
    <row r="46" spans="3:6" x14ac:dyDescent="0.2">
      <c r="C46" s="63">
        <v>-4.0500000000000096</v>
      </c>
      <c r="D46" s="64">
        <f t="shared" si="2"/>
        <v>0.99997439118352593</v>
      </c>
      <c r="E46" s="65">
        <f t="shared" si="2"/>
        <v>0.99997439118352593</v>
      </c>
      <c r="F46" s="66">
        <f t="shared" si="3"/>
        <v>999974.39118352591</v>
      </c>
    </row>
    <row r="47" spans="3:6" x14ac:dyDescent="0.2">
      <c r="C47" s="63">
        <v>-4.0000000000000098</v>
      </c>
      <c r="D47" s="64">
        <f t="shared" ref="D47:E65" si="4">1-NORMSDIST($C47)</f>
        <v>0.99996832875816688</v>
      </c>
      <c r="E47" s="65">
        <f t="shared" si="4"/>
        <v>0.99996832875816688</v>
      </c>
      <c r="F47" s="66">
        <f t="shared" si="3"/>
        <v>999968.32875816687</v>
      </c>
    </row>
    <row r="48" spans="3:6" x14ac:dyDescent="0.2">
      <c r="C48" s="63">
        <v>-3.9500000000000099</v>
      </c>
      <c r="D48" s="64">
        <f t="shared" si="4"/>
        <v>0.99996092440340223</v>
      </c>
      <c r="E48" s="65">
        <f t="shared" si="4"/>
        <v>0.99996092440340223</v>
      </c>
      <c r="F48" s="66">
        <f t="shared" si="3"/>
        <v>999960.92440340226</v>
      </c>
    </row>
    <row r="49" spans="3:6" x14ac:dyDescent="0.2">
      <c r="C49" s="63">
        <v>-3.9000000000000101</v>
      </c>
      <c r="D49" s="64">
        <f t="shared" si="4"/>
        <v>0.99995190365598241</v>
      </c>
      <c r="E49" s="65">
        <f t="shared" si="4"/>
        <v>0.99995190365598241</v>
      </c>
      <c r="F49" s="66">
        <f t="shared" si="3"/>
        <v>999951.90365598246</v>
      </c>
    </row>
    <row r="50" spans="3:6" x14ac:dyDescent="0.2">
      <c r="C50" s="63">
        <v>-3.8500000000000099</v>
      </c>
      <c r="D50" s="64">
        <f t="shared" si="4"/>
        <v>0.99994094108758103</v>
      </c>
      <c r="E50" s="65">
        <f t="shared" si="4"/>
        <v>0.99994094108758103</v>
      </c>
      <c r="F50" s="66">
        <f t="shared" si="3"/>
        <v>999940.94108758098</v>
      </c>
    </row>
    <row r="51" spans="3:6" x14ac:dyDescent="0.2">
      <c r="C51" s="63">
        <v>-3.80000000000001</v>
      </c>
      <c r="D51" s="64">
        <f t="shared" si="4"/>
        <v>0.99992765195607491</v>
      </c>
      <c r="E51" s="65">
        <f t="shared" si="4"/>
        <v>0.99992765195607491</v>
      </c>
      <c r="F51" s="66">
        <f t="shared" si="3"/>
        <v>999927.65195607487</v>
      </c>
    </row>
    <row r="52" spans="3:6" x14ac:dyDescent="0.2">
      <c r="C52" s="63">
        <v>-3.7500000000000102</v>
      </c>
      <c r="D52" s="64">
        <f t="shared" si="4"/>
        <v>0.99991158271479919</v>
      </c>
      <c r="E52" s="65">
        <f t="shared" si="4"/>
        <v>0.99991158271479919</v>
      </c>
      <c r="F52" s="66">
        <f t="shared" si="3"/>
        <v>999911.58271479921</v>
      </c>
    </row>
    <row r="53" spans="3:6" x14ac:dyDescent="0.2">
      <c r="C53" s="63">
        <v>-3.7000000000000099</v>
      </c>
      <c r="D53" s="64">
        <f t="shared" si="4"/>
        <v>0.99989220026652259</v>
      </c>
      <c r="E53" s="65">
        <f t="shared" si="4"/>
        <v>0.99989220026652259</v>
      </c>
      <c r="F53" s="66">
        <f t="shared" si="3"/>
        <v>999892.20026652259</v>
      </c>
    </row>
    <row r="54" spans="3:6" x14ac:dyDescent="0.2">
      <c r="C54" s="63">
        <v>-3.6500000000000101</v>
      </c>
      <c r="D54" s="64">
        <f t="shared" si="4"/>
        <v>0.99986887984557948</v>
      </c>
      <c r="E54" s="65">
        <f t="shared" si="4"/>
        <v>0.99986887984557948</v>
      </c>
      <c r="F54" s="66">
        <f t="shared" si="3"/>
        <v>999868.8798455795</v>
      </c>
    </row>
    <row r="55" spans="3:6" x14ac:dyDescent="0.2">
      <c r="C55" s="63">
        <v>-3.6000000000000099</v>
      </c>
      <c r="D55" s="64">
        <f t="shared" si="4"/>
        <v>0.99984089140984245</v>
      </c>
      <c r="E55" s="65">
        <f t="shared" si="4"/>
        <v>0.99984089140984245</v>
      </c>
      <c r="F55" s="66">
        <f t="shared" si="3"/>
        <v>999840.89140984241</v>
      </c>
    </row>
    <row r="56" spans="3:6" x14ac:dyDescent="0.2">
      <c r="C56" s="63">
        <v>-3.55000000000001</v>
      </c>
      <c r="D56" s="64">
        <f t="shared" si="4"/>
        <v>0.99980738442436434</v>
      </c>
      <c r="E56" s="65">
        <f t="shared" si="4"/>
        <v>0.99980738442436434</v>
      </c>
      <c r="F56" s="66">
        <f t="shared" si="3"/>
        <v>999807.38442436431</v>
      </c>
    </row>
    <row r="57" spans="3:6" x14ac:dyDescent="0.2">
      <c r="C57" s="63">
        <v>-3.5000000000000102</v>
      </c>
      <c r="D57" s="64">
        <f t="shared" si="4"/>
        <v>0.99976737092096446</v>
      </c>
      <c r="E57" s="65">
        <f t="shared" si="4"/>
        <v>0.99976737092096446</v>
      </c>
      <c r="F57" s="66">
        <f t="shared" si="3"/>
        <v>999767.37092096452</v>
      </c>
    </row>
    <row r="58" spans="3:6" x14ac:dyDescent="0.2">
      <c r="C58" s="63">
        <v>-3.4500000000000099</v>
      </c>
      <c r="D58" s="64">
        <f t="shared" si="4"/>
        <v>0.99971970672318389</v>
      </c>
      <c r="E58" s="65">
        <f t="shared" si="4"/>
        <v>0.99971970672318389</v>
      </c>
      <c r="F58" s="66">
        <f t="shared" si="3"/>
        <v>999719.70672318386</v>
      </c>
    </row>
    <row r="59" spans="3:6" x14ac:dyDescent="0.2">
      <c r="C59" s="63">
        <v>-3.4000000000000101</v>
      </c>
      <c r="D59" s="64">
        <f t="shared" si="4"/>
        <v>0.99966307073432314</v>
      </c>
      <c r="E59" s="65">
        <f t="shared" si="4"/>
        <v>0.99966307073432314</v>
      </c>
      <c r="F59" s="66">
        <f t="shared" si="3"/>
        <v>999663.07073432312</v>
      </c>
    </row>
    <row r="60" spans="3:6" x14ac:dyDescent="0.2">
      <c r="C60" s="63">
        <v>-3.3500000000000099</v>
      </c>
      <c r="D60" s="64">
        <f t="shared" si="4"/>
        <v>0.99959594219813597</v>
      </c>
      <c r="E60" s="65">
        <f t="shared" si="4"/>
        <v>0.99959594219813597</v>
      </c>
      <c r="F60" s="66">
        <f t="shared" si="3"/>
        <v>999595.94219813601</v>
      </c>
    </row>
    <row r="61" spans="3:6" x14ac:dyDescent="0.2">
      <c r="C61" s="63">
        <v>-3.30000000000001</v>
      </c>
      <c r="D61" s="64">
        <f t="shared" si="4"/>
        <v>0.99951657585761622</v>
      </c>
      <c r="E61" s="65">
        <f t="shared" si="4"/>
        <v>0.99951657585761622</v>
      </c>
      <c r="F61" s="66">
        <f t="shared" si="3"/>
        <v>999516.57585761626</v>
      </c>
    </row>
    <row r="62" spans="3:6" x14ac:dyDescent="0.2">
      <c r="C62" s="63">
        <v>-3.2500000000000102</v>
      </c>
      <c r="D62" s="64">
        <f t="shared" si="4"/>
        <v>0.99942297495760923</v>
      </c>
      <c r="E62" s="65">
        <f t="shared" si="4"/>
        <v>0.99942297495760923</v>
      </c>
      <c r="F62" s="66">
        <f t="shared" si="3"/>
        <v>999422.9749576092</v>
      </c>
    </row>
    <row r="63" spans="3:6" x14ac:dyDescent="0.2">
      <c r="C63" s="63">
        <v>-3.2000000000000099</v>
      </c>
      <c r="D63" s="64">
        <f t="shared" si="4"/>
        <v>0.99931286206208414</v>
      </c>
      <c r="E63" s="65">
        <f t="shared" si="4"/>
        <v>0.99931286206208414</v>
      </c>
      <c r="F63" s="66">
        <f t="shared" si="3"/>
        <v>999312.86206208414</v>
      </c>
    </row>
    <row r="64" spans="3:6" x14ac:dyDescent="0.2">
      <c r="C64" s="63">
        <v>-3.1500000000000101</v>
      </c>
      <c r="D64" s="64">
        <f t="shared" si="4"/>
        <v>0.99918364768717149</v>
      </c>
      <c r="E64" s="65">
        <f t="shared" si="4"/>
        <v>0.99918364768717149</v>
      </c>
      <c r="F64" s="66">
        <f t="shared" si="3"/>
        <v>999183.64768717147</v>
      </c>
    </row>
    <row r="65" spans="3:6" x14ac:dyDescent="0.2">
      <c r="C65" s="63">
        <v>-3.1000000000000099</v>
      </c>
      <c r="D65" s="64">
        <f t="shared" si="4"/>
        <v>0.99903239678678168</v>
      </c>
      <c r="E65" s="65">
        <f t="shared" si="4"/>
        <v>0.99903239678678168</v>
      </c>
      <c r="F65" s="66">
        <f t="shared" si="3"/>
        <v>999032.39678678173</v>
      </c>
    </row>
    <row r="66" spans="3:6" x14ac:dyDescent="0.2">
      <c r="C66" s="63">
        <v>-3.05000000000001</v>
      </c>
      <c r="D66" s="64">
        <f t="shared" ref="D66:E129" si="5">1-NORMSDIST($C66)</f>
        <v>0.99885579316897732</v>
      </c>
      <c r="E66" s="65">
        <f t="shared" si="5"/>
        <v>0.99885579316897732</v>
      </c>
      <c r="F66" s="66">
        <f t="shared" si="3"/>
        <v>998855.79316897737</v>
      </c>
    </row>
    <row r="67" spans="3:6" x14ac:dyDescent="0.2">
      <c r="C67" s="63">
        <v>-3.0000000000000102</v>
      </c>
      <c r="D67" s="64">
        <f t="shared" si="5"/>
        <v>0.9986501019683699</v>
      </c>
      <c r="E67" s="65">
        <f t="shared" si="5"/>
        <v>0.9986501019683699</v>
      </c>
      <c r="F67" s="66">
        <f t="shared" si="3"/>
        <v>998650.10196836991</v>
      </c>
    </row>
    <row r="68" spans="3:6" x14ac:dyDescent="0.2">
      <c r="C68" s="63">
        <v>-2.9500000000000099</v>
      </c>
      <c r="D68" s="64">
        <f t="shared" si="5"/>
        <v>0.99841113035263518</v>
      </c>
      <c r="E68" s="65">
        <f t="shared" si="5"/>
        <v>0.99841113035263518</v>
      </c>
      <c r="F68" s="66">
        <f t="shared" si="3"/>
        <v>998411.13035263517</v>
      </c>
    </row>
    <row r="69" spans="3:6" x14ac:dyDescent="0.2">
      <c r="C69" s="63">
        <v>-2.9000000000000101</v>
      </c>
      <c r="D69" s="64">
        <f t="shared" si="5"/>
        <v>0.99813418669961607</v>
      </c>
      <c r="E69" s="65">
        <f t="shared" si="5"/>
        <v>0.99813418669961607</v>
      </c>
      <c r="F69" s="66">
        <f t="shared" si="3"/>
        <v>998134.18669961602</v>
      </c>
    </row>
    <row r="70" spans="3:6" x14ac:dyDescent="0.2">
      <c r="C70" s="63">
        <v>-2.8500000000000099</v>
      </c>
      <c r="D70" s="64">
        <f t="shared" si="5"/>
        <v>0.99781403854508688</v>
      </c>
      <c r="E70" s="65">
        <f t="shared" si="5"/>
        <v>0.99781403854508688</v>
      </c>
      <c r="F70" s="66">
        <f t="shared" si="3"/>
        <v>997814.03854508686</v>
      </c>
    </row>
    <row r="71" spans="3:6" x14ac:dyDescent="0.2">
      <c r="C71" s="63">
        <v>-2.80000000000001</v>
      </c>
      <c r="D71" s="64">
        <f t="shared" si="5"/>
        <v>0.99744486966957213</v>
      </c>
      <c r="E71" s="65">
        <f t="shared" si="5"/>
        <v>0.99744486966957213</v>
      </c>
      <c r="F71" s="66">
        <f t="shared" si="3"/>
        <v>997444.8696695721</v>
      </c>
    </row>
    <row r="72" spans="3:6" x14ac:dyDescent="0.2">
      <c r="C72" s="63">
        <v>-2.7500000000000102</v>
      </c>
      <c r="D72" s="64">
        <f t="shared" si="5"/>
        <v>0.99702023676494556</v>
      </c>
      <c r="E72" s="65">
        <f t="shared" si="5"/>
        <v>0.99702023676494556</v>
      </c>
      <c r="F72" s="66">
        <f t="shared" si="3"/>
        <v>997020.23676494556</v>
      </c>
    </row>
    <row r="73" spans="3:6" x14ac:dyDescent="0.2">
      <c r="C73" s="63">
        <v>-2.7000000000000099</v>
      </c>
      <c r="D73" s="64">
        <f t="shared" si="5"/>
        <v>0.99653302619695949</v>
      </c>
      <c r="E73" s="65">
        <f t="shared" si="5"/>
        <v>0.99653302619695949</v>
      </c>
      <c r="F73" s="66">
        <f t="shared" si="3"/>
        <v>996533.02619695954</v>
      </c>
    </row>
    <row r="74" spans="3:6" x14ac:dyDescent="0.2">
      <c r="C74" s="63">
        <v>-2.6500000000000101</v>
      </c>
      <c r="D74" s="64">
        <f t="shared" si="5"/>
        <v>0.99597541145724178</v>
      </c>
      <c r="E74" s="65">
        <f t="shared" si="5"/>
        <v>0.99597541145724178</v>
      </c>
      <c r="F74" s="66">
        <f t="shared" si="3"/>
        <v>995975.41145724175</v>
      </c>
    </row>
    <row r="75" spans="3:6" x14ac:dyDescent="0.2">
      <c r="C75" s="63">
        <v>-2.6000000000000099</v>
      </c>
      <c r="D75" s="64">
        <f t="shared" si="5"/>
        <v>0.99533881197628138</v>
      </c>
      <c r="E75" s="65">
        <f t="shared" si="5"/>
        <v>0.99533881197628138</v>
      </c>
      <c r="F75" s="66">
        <f t="shared" si="3"/>
        <v>995338.81197628134</v>
      </c>
    </row>
    <row r="76" spans="3:6" x14ac:dyDescent="0.2">
      <c r="C76" s="63">
        <v>-2.55000000000001</v>
      </c>
      <c r="D76" s="64">
        <f t="shared" si="5"/>
        <v>0.9946138540459335</v>
      </c>
      <c r="E76" s="65">
        <f t="shared" si="5"/>
        <v>0.9946138540459335</v>
      </c>
      <c r="F76" s="66">
        <f t="shared" si="3"/>
        <v>994613.85404593346</v>
      </c>
    </row>
    <row r="77" spans="3:6" x14ac:dyDescent="0.2">
      <c r="C77" s="63">
        <v>-2.5000000000000102</v>
      </c>
      <c r="D77" s="64">
        <f t="shared" si="5"/>
        <v>0.99379033467422406</v>
      </c>
      <c r="E77" s="65">
        <f t="shared" si="5"/>
        <v>0.99379033467422406</v>
      </c>
      <c r="F77" s="66">
        <f t="shared" si="3"/>
        <v>993790.33467422402</v>
      </c>
    </row>
    <row r="78" spans="3:6" x14ac:dyDescent="0.2">
      <c r="C78" s="63">
        <v>-2.4500000000000099</v>
      </c>
      <c r="D78" s="64">
        <f t="shared" si="5"/>
        <v>0.99285718926472877</v>
      </c>
      <c r="E78" s="65">
        <f t="shared" si="5"/>
        <v>0.99285718926472877</v>
      </c>
      <c r="F78" s="66">
        <f t="shared" si="3"/>
        <v>992857.1892647288</v>
      </c>
    </row>
    <row r="79" spans="3:6" x14ac:dyDescent="0.2">
      <c r="C79" s="63">
        <v>-2.4000000000000101</v>
      </c>
      <c r="D79" s="64">
        <f t="shared" si="5"/>
        <v>0.99180246407540407</v>
      </c>
      <c r="E79" s="65">
        <f t="shared" si="5"/>
        <v>0.99180246407540407</v>
      </c>
      <c r="F79" s="66">
        <f t="shared" si="3"/>
        <v>991802.4640754041</v>
      </c>
    </row>
    <row r="80" spans="3:6" x14ac:dyDescent="0.2">
      <c r="C80" s="63">
        <v>-2.3500000000000099</v>
      </c>
      <c r="D80" s="64">
        <f t="shared" si="5"/>
        <v>0.99061329446516166</v>
      </c>
      <c r="E80" s="65">
        <f t="shared" si="5"/>
        <v>0.99061329446516166</v>
      </c>
      <c r="F80" s="66">
        <f t="shared" si="3"/>
        <v>990613.29446516163</v>
      </c>
    </row>
    <row r="81" spans="3:6" x14ac:dyDescent="0.2">
      <c r="C81" s="63">
        <v>-2.30000000000001</v>
      </c>
      <c r="D81" s="64">
        <f t="shared" si="5"/>
        <v>0.9892758899783245</v>
      </c>
      <c r="E81" s="65">
        <f t="shared" si="5"/>
        <v>0.9892758899783245</v>
      </c>
      <c r="F81" s="66">
        <f t="shared" si="3"/>
        <v>989275.88997832453</v>
      </c>
    </row>
    <row r="82" spans="3:6" x14ac:dyDescent="0.2">
      <c r="C82" s="63">
        <v>-2.2500000000000102</v>
      </c>
      <c r="D82" s="64">
        <f t="shared" si="5"/>
        <v>0.98777552734495566</v>
      </c>
      <c r="E82" s="65">
        <f t="shared" si="5"/>
        <v>0.98777552734495566</v>
      </c>
      <c r="F82" s="66">
        <f t="shared" si="3"/>
        <v>987775.52734495571</v>
      </c>
    </row>
    <row r="83" spans="3:6" x14ac:dyDescent="0.2">
      <c r="C83" s="63">
        <v>-2.2000000000000099</v>
      </c>
      <c r="D83" s="64">
        <f t="shared" si="5"/>
        <v>0.98609655248650174</v>
      </c>
      <c r="E83" s="65">
        <f t="shared" si="5"/>
        <v>0.98609655248650174</v>
      </c>
      <c r="F83" s="66">
        <f t="shared" si="3"/>
        <v>986096.55248650175</v>
      </c>
    </row>
    <row r="84" spans="3:6" x14ac:dyDescent="0.2">
      <c r="C84" s="63">
        <v>-2.1500000000000101</v>
      </c>
      <c r="D84" s="64">
        <f t="shared" si="5"/>
        <v>0.98422239260890987</v>
      </c>
      <c r="E84" s="65">
        <f t="shared" si="5"/>
        <v>0.98422239260890987</v>
      </c>
      <c r="F84" s="66">
        <f t="shared" si="3"/>
        <v>984222.39260890987</v>
      </c>
    </row>
    <row r="85" spans="3:6" x14ac:dyDescent="0.2">
      <c r="C85" s="63">
        <v>-2.1000000000000099</v>
      </c>
      <c r="D85" s="64">
        <f t="shared" si="5"/>
        <v>0.98213557943718388</v>
      </c>
      <c r="E85" s="65">
        <f t="shared" si="5"/>
        <v>0.98213557943718388</v>
      </c>
      <c r="F85" s="66">
        <f t="shared" si="3"/>
        <v>982135.57943718391</v>
      </c>
    </row>
    <row r="86" spans="3:6" x14ac:dyDescent="0.2">
      <c r="C86" s="63">
        <v>-2.05000000000001</v>
      </c>
      <c r="D86" s="64">
        <f t="shared" si="5"/>
        <v>0.97981778459429614</v>
      </c>
      <c r="E86" s="65">
        <f t="shared" si="5"/>
        <v>0.97981778459429614</v>
      </c>
      <c r="F86" s="66">
        <f t="shared" si="3"/>
        <v>979817.78459429613</v>
      </c>
    </row>
    <row r="87" spans="3:6" x14ac:dyDescent="0.2">
      <c r="C87" s="63">
        <v>-2.0000000000000102</v>
      </c>
      <c r="D87" s="64">
        <f t="shared" si="5"/>
        <v>0.97724986805182135</v>
      </c>
      <c r="E87" s="65">
        <f t="shared" si="5"/>
        <v>0.97724986805182135</v>
      </c>
      <c r="F87" s="66">
        <f t="shared" si="3"/>
        <v>977249.86805182137</v>
      </c>
    </row>
    <row r="88" spans="3:6" x14ac:dyDescent="0.2">
      <c r="C88" s="63">
        <v>-1.9500000000000099</v>
      </c>
      <c r="D88" s="64">
        <f t="shared" si="5"/>
        <v>0.97441194047836199</v>
      </c>
      <c r="E88" s="65">
        <f t="shared" si="5"/>
        <v>0.97441194047836199</v>
      </c>
      <c r="F88" s="66">
        <f t="shared" si="3"/>
        <v>974411.94047836203</v>
      </c>
    </row>
    <row r="89" spans="3:6" x14ac:dyDescent="0.2">
      <c r="C89" s="63">
        <v>-1.9000000000000099</v>
      </c>
      <c r="D89" s="64">
        <f t="shared" si="5"/>
        <v>0.97128344018399881</v>
      </c>
      <c r="E89" s="65">
        <f t="shared" si="5"/>
        <v>0.97128344018399881</v>
      </c>
      <c r="F89" s="66">
        <f t="shared" si="3"/>
        <v>971283.44018399878</v>
      </c>
    </row>
    <row r="90" spans="3:6" x14ac:dyDescent="0.2">
      <c r="C90" s="63">
        <v>-1.8500000000000101</v>
      </c>
      <c r="D90" s="64">
        <f t="shared" si="5"/>
        <v>0.96784322520438704</v>
      </c>
      <c r="E90" s="65">
        <f t="shared" si="5"/>
        <v>0.96784322520438704</v>
      </c>
      <c r="F90" s="66">
        <f t="shared" si="3"/>
        <v>967843.22520438698</v>
      </c>
    </row>
    <row r="91" spans="3:6" x14ac:dyDescent="0.2">
      <c r="C91" s="63">
        <v>-1.80000000000001</v>
      </c>
      <c r="D91" s="64">
        <f t="shared" si="5"/>
        <v>0.96406968088707501</v>
      </c>
      <c r="E91" s="65">
        <f t="shared" si="5"/>
        <v>0.96406968088707501</v>
      </c>
      <c r="F91" s="66">
        <f t="shared" si="3"/>
        <v>964069.68088707502</v>
      </c>
    </row>
    <row r="92" spans="3:6" x14ac:dyDescent="0.2">
      <c r="C92" s="63">
        <v>-1.75000000000002</v>
      </c>
      <c r="D92" s="64">
        <f t="shared" si="5"/>
        <v>0.95994084313618466</v>
      </c>
      <c r="E92" s="65">
        <f t="shared" si="5"/>
        <v>0.95994084313618466</v>
      </c>
      <c r="F92" s="66">
        <f t="shared" si="3"/>
        <v>959940.84313618462</v>
      </c>
    </row>
    <row r="93" spans="3:6" x14ac:dyDescent="0.2">
      <c r="C93" s="63">
        <v>-1.7000000000000199</v>
      </c>
      <c r="D93" s="64">
        <f t="shared" si="5"/>
        <v>0.95543453724145888</v>
      </c>
      <c r="E93" s="65">
        <f t="shared" si="5"/>
        <v>0.95543453724145888</v>
      </c>
      <c r="F93" s="66">
        <f t="shared" si="3"/>
        <v>955434.53724145889</v>
      </c>
    </row>
    <row r="94" spans="3:6" x14ac:dyDescent="0.2">
      <c r="C94" s="63">
        <v>-1.6500000000000199</v>
      </c>
      <c r="D94" s="64">
        <f t="shared" si="5"/>
        <v>0.9505285319663539</v>
      </c>
      <c r="E94" s="65">
        <f t="shared" si="5"/>
        <v>0.9505285319663539</v>
      </c>
      <c r="F94" s="66">
        <f t="shared" si="3"/>
        <v>950528.53196635388</v>
      </c>
    </row>
    <row r="95" spans="3:6" x14ac:dyDescent="0.2">
      <c r="C95" s="63">
        <v>-1.6000000000000201</v>
      </c>
      <c r="D95" s="64">
        <f t="shared" si="5"/>
        <v>0.94520070830044423</v>
      </c>
      <c r="E95" s="65">
        <f t="shared" si="5"/>
        <v>0.94520070830044423</v>
      </c>
      <c r="F95" s="66">
        <f t="shared" si="3"/>
        <v>945200.70830044418</v>
      </c>
    </row>
    <row r="96" spans="3:6" x14ac:dyDescent="0.2">
      <c r="C96" s="63">
        <v>-1.55000000000002</v>
      </c>
      <c r="D96" s="64">
        <f t="shared" si="5"/>
        <v>0.93942924199794342</v>
      </c>
      <c r="E96" s="65">
        <f t="shared" si="5"/>
        <v>0.93942924199794342</v>
      </c>
      <c r="F96" s="66">
        <f t="shared" si="3"/>
        <v>939429.24199794338</v>
      </c>
    </row>
    <row r="97" spans="3:6" x14ac:dyDescent="0.2">
      <c r="C97" s="63">
        <v>-1.50000000000002</v>
      </c>
      <c r="D97" s="64">
        <f t="shared" si="5"/>
        <v>0.93319279873114447</v>
      </c>
      <c r="E97" s="65">
        <f t="shared" si="5"/>
        <v>0.93319279873114447</v>
      </c>
      <c r="F97" s="66">
        <f t="shared" si="3"/>
        <v>933192.79873114452</v>
      </c>
    </row>
    <row r="98" spans="3:6" x14ac:dyDescent="0.2">
      <c r="C98" s="63">
        <v>-1.4500000000000199</v>
      </c>
      <c r="D98" s="64">
        <f t="shared" si="5"/>
        <v>0.92647074039035449</v>
      </c>
      <c r="E98" s="65">
        <f t="shared" si="5"/>
        <v>0.92647074039035449</v>
      </c>
      <c r="F98" s="66">
        <f t="shared" ref="F98:F161" si="6">D98*1000000</f>
        <v>926470.74039035453</v>
      </c>
    </row>
    <row r="99" spans="3:6" x14ac:dyDescent="0.2">
      <c r="C99" s="63">
        <v>-1.4000000000000199</v>
      </c>
      <c r="D99" s="64">
        <f t="shared" si="5"/>
        <v>0.91924334076623193</v>
      </c>
      <c r="E99" s="65">
        <f t="shared" si="5"/>
        <v>0.91924334076623193</v>
      </c>
      <c r="F99" s="66">
        <f t="shared" si="6"/>
        <v>919243.34076623188</v>
      </c>
    </row>
    <row r="100" spans="3:6" x14ac:dyDescent="0.2">
      <c r="C100" s="63">
        <v>-1.3500000000000201</v>
      </c>
      <c r="D100" s="64">
        <f t="shared" si="5"/>
        <v>0.91149200856260115</v>
      </c>
      <c r="E100" s="65">
        <f t="shared" si="5"/>
        <v>0.91149200856260115</v>
      </c>
      <c r="F100" s="66">
        <f t="shared" si="6"/>
        <v>911492.00856260117</v>
      </c>
    </row>
    <row r="101" spans="3:6" x14ac:dyDescent="0.2">
      <c r="C101" s="63">
        <v>-1.30000000000002</v>
      </c>
      <c r="D101" s="64">
        <f t="shared" si="5"/>
        <v>0.90319951541439314</v>
      </c>
      <c r="E101" s="65">
        <f t="shared" si="5"/>
        <v>0.90319951541439314</v>
      </c>
      <c r="F101" s="66">
        <f t="shared" si="6"/>
        <v>903199.51541439316</v>
      </c>
    </row>
    <row r="102" spans="3:6" x14ac:dyDescent="0.2">
      <c r="C102" s="63">
        <v>-1.25000000000002</v>
      </c>
      <c r="D102" s="64">
        <f t="shared" si="5"/>
        <v>0.89435022633314842</v>
      </c>
      <c r="E102" s="65">
        <f t="shared" si="5"/>
        <v>0.89435022633314842</v>
      </c>
      <c r="F102" s="66">
        <f t="shared" si="6"/>
        <v>894350.22633314843</v>
      </c>
    </row>
    <row r="103" spans="3:6" x14ac:dyDescent="0.2">
      <c r="C103" s="63">
        <v>-1.2000000000000199</v>
      </c>
      <c r="D103" s="64">
        <f t="shared" si="5"/>
        <v>0.88493032977829567</v>
      </c>
      <c r="E103" s="65">
        <f t="shared" si="5"/>
        <v>0.88493032977829567</v>
      </c>
      <c r="F103" s="66">
        <f t="shared" si="6"/>
        <v>884930.32977829571</v>
      </c>
    </row>
    <row r="104" spans="3:6" x14ac:dyDescent="0.2">
      <c r="C104" s="63">
        <v>-1.1500000000000199</v>
      </c>
      <c r="D104" s="64">
        <f t="shared" si="5"/>
        <v>0.87492806436285386</v>
      </c>
      <c r="E104" s="65">
        <f t="shared" si="5"/>
        <v>0.87492806436285386</v>
      </c>
      <c r="F104" s="66">
        <f t="shared" si="6"/>
        <v>874928.06436285388</v>
      </c>
    </row>
    <row r="105" spans="3:6" x14ac:dyDescent="0.2">
      <c r="C105" s="63">
        <v>-1.1000000000000201</v>
      </c>
      <c r="D105" s="64">
        <f t="shared" si="5"/>
        <v>0.86433393905362177</v>
      </c>
      <c r="E105" s="65">
        <f t="shared" si="5"/>
        <v>0.86433393905362177</v>
      </c>
      <c r="F105" s="66">
        <f t="shared" si="6"/>
        <v>864333.93905362173</v>
      </c>
    </row>
    <row r="106" spans="3:6" x14ac:dyDescent="0.2">
      <c r="C106" s="63">
        <v>-1.05000000000002</v>
      </c>
      <c r="D106" s="64">
        <f t="shared" si="5"/>
        <v>0.85314094362410864</v>
      </c>
      <c r="E106" s="65">
        <f t="shared" si="5"/>
        <v>0.85314094362410864</v>
      </c>
      <c r="F106" s="66">
        <f t="shared" si="6"/>
        <v>853140.94362410868</v>
      </c>
    </row>
    <row r="107" spans="3:6" x14ac:dyDescent="0.2">
      <c r="C107" s="63">
        <v>-1.00000000000002</v>
      </c>
      <c r="D107" s="64">
        <f t="shared" si="5"/>
        <v>0.84134474606854781</v>
      </c>
      <c r="E107" s="65">
        <f t="shared" si="5"/>
        <v>0.84134474606854781</v>
      </c>
      <c r="F107" s="66">
        <f t="shared" si="6"/>
        <v>841344.74606854783</v>
      </c>
    </row>
    <row r="108" spans="3:6" x14ac:dyDescent="0.2">
      <c r="C108" s="63">
        <v>-0.95000000000002005</v>
      </c>
      <c r="D108" s="64">
        <f t="shared" si="5"/>
        <v>0.82894387369152334</v>
      </c>
      <c r="E108" s="65">
        <f t="shared" si="5"/>
        <v>0.82894387369152334</v>
      </c>
      <c r="F108" s="66">
        <f t="shared" si="6"/>
        <v>828943.87369152333</v>
      </c>
    </row>
    <row r="109" spans="3:6" x14ac:dyDescent="0.2">
      <c r="C109" s="63">
        <v>-0.90000000000002001</v>
      </c>
      <c r="D109" s="64">
        <f t="shared" si="5"/>
        <v>0.8159398746532458</v>
      </c>
      <c r="E109" s="65">
        <f t="shared" si="5"/>
        <v>0.8159398746532458</v>
      </c>
      <c r="F109" s="66">
        <f t="shared" si="6"/>
        <v>815939.87465324579</v>
      </c>
    </row>
    <row r="110" spans="3:6" x14ac:dyDescent="0.2">
      <c r="C110" s="63">
        <v>-0.85000000000001996</v>
      </c>
      <c r="D110" s="64">
        <f t="shared" si="5"/>
        <v>0.80233745687731317</v>
      </c>
      <c r="E110" s="65">
        <f t="shared" si="5"/>
        <v>0.80233745687731317</v>
      </c>
      <c r="F110" s="66">
        <f t="shared" si="6"/>
        <v>802337.45687731321</v>
      </c>
    </row>
    <row r="111" spans="3:6" x14ac:dyDescent="0.2">
      <c r="C111" s="63">
        <v>-0.80000000000002003</v>
      </c>
      <c r="D111" s="64">
        <f t="shared" si="5"/>
        <v>0.78814460141660914</v>
      </c>
      <c r="E111" s="65">
        <f t="shared" si="5"/>
        <v>0.78814460141660914</v>
      </c>
      <c r="F111" s="66">
        <f t="shared" si="6"/>
        <v>788144.60141660913</v>
      </c>
    </row>
    <row r="112" spans="3:6" x14ac:dyDescent="0.2">
      <c r="C112" s="63">
        <v>-0.75000000000001998</v>
      </c>
      <c r="D112" s="64">
        <f t="shared" si="5"/>
        <v>0.77337264762313784</v>
      </c>
      <c r="E112" s="65">
        <f t="shared" si="5"/>
        <v>0.77337264762313784</v>
      </c>
      <c r="F112" s="66">
        <f t="shared" si="6"/>
        <v>773372.6476231378</v>
      </c>
    </row>
    <row r="113" spans="3:6" x14ac:dyDescent="0.2">
      <c r="C113" s="63">
        <v>-0.70000000000002005</v>
      </c>
      <c r="D113" s="64">
        <f t="shared" si="5"/>
        <v>0.75803634777693341</v>
      </c>
      <c r="E113" s="65">
        <f t="shared" si="5"/>
        <v>0.75803634777693341</v>
      </c>
      <c r="F113" s="66">
        <f t="shared" si="6"/>
        <v>758036.34777693346</v>
      </c>
    </row>
    <row r="114" spans="3:6" x14ac:dyDescent="0.2">
      <c r="C114" s="63">
        <v>-0.65000000000002001</v>
      </c>
      <c r="D114" s="64">
        <f t="shared" si="5"/>
        <v>0.74215388919414182</v>
      </c>
      <c r="E114" s="65">
        <f t="shared" si="5"/>
        <v>0.74215388919414182</v>
      </c>
      <c r="F114" s="66">
        <f t="shared" si="6"/>
        <v>742153.88919414184</v>
      </c>
    </row>
    <row r="115" spans="3:6" x14ac:dyDescent="0.2">
      <c r="C115" s="63">
        <v>-0.60000000000001996</v>
      </c>
      <c r="D115" s="64">
        <f t="shared" si="5"/>
        <v>0.72574688224993311</v>
      </c>
      <c r="E115" s="65">
        <f t="shared" si="5"/>
        <v>0.72574688224993311</v>
      </c>
      <c r="F115" s="66">
        <f t="shared" si="6"/>
        <v>725746.88224993309</v>
      </c>
    </row>
    <row r="116" spans="3:6" x14ac:dyDescent="0.2">
      <c r="C116" s="63">
        <v>-0.55000000000002003</v>
      </c>
      <c r="D116" s="64">
        <f t="shared" si="5"/>
        <v>0.70884031321166052</v>
      </c>
      <c r="E116" s="65">
        <f t="shared" si="5"/>
        <v>0.70884031321166052</v>
      </c>
      <c r="F116" s="66">
        <f t="shared" si="6"/>
        <v>708840.31321166048</v>
      </c>
    </row>
    <row r="117" spans="3:6" x14ac:dyDescent="0.2">
      <c r="C117" s="63">
        <v>-0.50000000000001998</v>
      </c>
      <c r="D117" s="64">
        <f t="shared" si="5"/>
        <v>0.69146246127402022</v>
      </c>
      <c r="E117" s="65">
        <f t="shared" si="5"/>
        <v>0.69146246127402022</v>
      </c>
      <c r="F117" s="66">
        <f t="shared" si="6"/>
        <v>691462.46127402026</v>
      </c>
    </row>
    <row r="118" spans="3:6" x14ac:dyDescent="0.2">
      <c r="C118" s="63">
        <v>-0.45000000000002</v>
      </c>
      <c r="D118" s="64">
        <f t="shared" si="5"/>
        <v>0.67364477971208714</v>
      </c>
      <c r="E118" s="65">
        <f t="shared" si="5"/>
        <v>0.67364477971208714</v>
      </c>
      <c r="F118" s="66">
        <f t="shared" si="6"/>
        <v>673644.77971208713</v>
      </c>
    </row>
    <row r="119" spans="3:6" x14ac:dyDescent="0.2">
      <c r="C119" s="63">
        <v>-0.40000000000002001</v>
      </c>
      <c r="D119" s="64">
        <f t="shared" si="5"/>
        <v>0.65542174161033162</v>
      </c>
      <c r="E119" s="65">
        <f t="shared" si="5"/>
        <v>0.65542174161033162</v>
      </c>
      <c r="F119" s="66">
        <f t="shared" si="6"/>
        <v>655421.74161033158</v>
      </c>
    </row>
    <row r="120" spans="3:6" x14ac:dyDescent="0.2">
      <c r="C120" s="63">
        <v>-0.35000000000002002</v>
      </c>
      <c r="D120" s="64">
        <f t="shared" si="5"/>
        <v>0.63683065117562654</v>
      </c>
      <c r="E120" s="65">
        <f t="shared" si="5"/>
        <v>0.63683065117562654</v>
      </c>
      <c r="F120" s="66">
        <f t="shared" si="6"/>
        <v>636830.65117562655</v>
      </c>
    </row>
    <row r="121" spans="3:6" x14ac:dyDescent="0.2">
      <c r="C121" s="63">
        <v>-0.30000000000001997</v>
      </c>
      <c r="D121" s="64">
        <f t="shared" si="5"/>
        <v>0.61791142218896034</v>
      </c>
      <c r="E121" s="65">
        <f t="shared" si="5"/>
        <v>0.61791142218896034</v>
      </c>
      <c r="F121" s="66">
        <f t="shared" si="6"/>
        <v>617911.42218896037</v>
      </c>
    </row>
    <row r="122" spans="3:6" x14ac:dyDescent="0.2">
      <c r="C122" s="63">
        <v>-0.25000000000001998</v>
      </c>
      <c r="D122" s="64">
        <f t="shared" si="5"/>
        <v>0.59870632568293147</v>
      </c>
      <c r="E122" s="65">
        <f t="shared" si="5"/>
        <v>0.59870632568293147</v>
      </c>
      <c r="F122" s="66">
        <f t="shared" si="6"/>
        <v>598706.32568293146</v>
      </c>
    </row>
    <row r="123" spans="3:6" x14ac:dyDescent="0.2">
      <c r="C123" s="63">
        <v>-0.20000000000002</v>
      </c>
      <c r="D123" s="64">
        <f t="shared" si="5"/>
        <v>0.57925970943911087</v>
      </c>
      <c r="E123" s="65">
        <f t="shared" si="5"/>
        <v>0.57925970943911087</v>
      </c>
      <c r="F123" s="66">
        <f t="shared" si="6"/>
        <v>579259.70943911083</v>
      </c>
    </row>
    <row r="124" spans="3:6" x14ac:dyDescent="0.2">
      <c r="C124" s="63">
        <v>-0.15000000000002001</v>
      </c>
      <c r="D124" s="64">
        <f t="shared" si="5"/>
        <v>0.5596176923702505</v>
      </c>
      <c r="E124" s="65">
        <f t="shared" si="5"/>
        <v>0.5596176923702505</v>
      </c>
      <c r="F124" s="66">
        <f t="shared" si="6"/>
        <v>559617.69237025047</v>
      </c>
    </row>
    <row r="125" spans="3:6" x14ac:dyDescent="0.2">
      <c r="C125" s="63">
        <v>-0.10000000000002</v>
      </c>
      <c r="D125" s="64">
        <f t="shared" si="5"/>
        <v>0.53982783727703687</v>
      </c>
      <c r="E125" s="65">
        <f t="shared" si="5"/>
        <v>0.53982783727703687</v>
      </c>
      <c r="F125" s="66">
        <f t="shared" si="6"/>
        <v>539827.83727703686</v>
      </c>
    </row>
    <row r="126" spans="3:6" x14ac:dyDescent="0.2">
      <c r="C126" s="63">
        <v>-5.0000000000020299E-2</v>
      </c>
      <c r="D126" s="64">
        <f t="shared" si="5"/>
        <v>0.51993880583838048</v>
      </c>
      <c r="E126" s="65">
        <f t="shared" si="5"/>
        <v>0.51993880583838048</v>
      </c>
      <c r="F126" s="66">
        <f t="shared" si="6"/>
        <v>519938.80583838047</v>
      </c>
    </row>
    <row r="127" spans="3:6" x14ac:dyDescent="0.2">
      <c r="C127" s="63">
        <v>-2.0428103653102899E-14</v>
      </c>
      <c r="D127" s="64">
        <f t="shared" si="5"/>
        <v>0.50000000000000822</v>
      </c>
      <c r="E127" s="65">
        <f t="shared" si="5"/>
        <v>0.50000000000000822</v>
      </c>
      <c r="F127" s="66">
        <f t="shared" si="6"/>
        <v>500000.00000000821</v>
      </c>
    </row>
    <row r="128" spans="3:6" x14ac:dyDescent="0.2">
      <c r="C128" s="63">
        <v>4.9999999999980303E-2</v>
      </c>
      <c r="D128" s="64">
        <f t="shared" si="5"/>
        <v>0.4800611941616354</v>
      </c>
      <c r="E128" s="65">
        <f t="shared" si="5"/>
        <v>0.4800611941616354</v>
      </c>
      <c r="F128" s="66">
        <f t="shared" si="6"/>
        <v>480061.19416163542</v>
      </c>
    </row>
    <row r="129" spans="3:6" x14ac:dyDescent="0.2">
      <c r="C129" s="63">
        <v>9.9999999999980105E-2</v>
      </c>
      <c r="D129" s="64">
        <f t="shared" si="5"/>
        <v>0.46017216272297889</v>
      </c>
      <c r="E129" s="65">
        <f t="shared" si="5"/>
        <v>0.46017216272297889</v>
      </c>
      <c r="F129" s="66">
        <f t="shared" si="6"/>
        <v>460172.16272297892</v>
      </c>
    </row>
    <row r="130" spans="3:6" x14ac:dyDescent="0.2">
      <c r="C130" s="63">
        <v>0.14999999999998001</v>
      </c>
      <c r="D130" s="64">
        <f t="shared" ref="D130:E193" si="7">1-NORMSDIST($C130)</f>
        <v>0.44038230762976538</v>
      </c>
      <c r="E130" s="65">
        <f t="shared" si="7"/>
        <v>0.44038230762976538</v>
      </c>
      <c r="F130" s="66">
        <f t="shared" si="6"/>
        <v>440382.30762976536</v>
      </c>
    </row>
    <row r="131" spans="3:6" x14ac:dyDescent="0.2">
      <c r="C131" s="63">
        <v>0.19999999999998</v>
      </c>
      <c r="D131" s="64">
        <f t="shared" si="7"/>
        <v>0.42074029056090478</v>
      </c>
      <c r="E131" s="65">
        <f t="shared" si="7"/>
        <v>0.42074029056090478</v>
      </c>
      <c r="F131" s="66">
        <f t="shared" si="6"/>
        <v>420740.29056090477</v>
      </c>
    </row>
    <row r="132" spans="3:6" x14ac:dyDescent="0.2">
      <c r="C132" s="63">
        <v>0.24999999999997999</v>
      </c>
      <c r="D132" s="64">
        <f t="shared" si="7"/>
        <v>0.40129367431708407</v>
      </c>
      <c r="E132" s="65">
        <f t="shared" si="7"/>
        <v>0.40129367431708407</v>
      </c>
      <c r="F132" s="66">
        <f t="shared" si="6"/>
        <v>401293.67431708408</v>
      </c>
    </row>
    <row r="133" spans="3:6" x14ac:dyDescent="0.2">
      <c r="C133" s="63">
        <v>0.29999999999998</v>
      </c>
      <c r="D133" s="64">
        <f t="shared" si="7"/>
        <v>0.38208857781105499</v>
      </c>
      <c r="E133" s="65">
        <f t="shared" si="7"/>
        <v>0.38208857781105499</v>
      </c>
      <c r="F133" s="66">
        <f t="shared" si="6"/>
        <v>382088.577811055</v>
      </c>
    </row>
    <row r="134" spans="3:6" x14ac:dyDescent="0.2">
      <c r="C134" s="63">
        <v>0.34999999999997999</v>
      </c>
      <c r="D134" s="64">
        <f t="shared" si="7"/>
        <v>0.36316934882438845</v>
      </c>
      <c r="E134" s="65">
        <f t="shared" si="7"/>
        <v>0.36316934882438845</v>
      </c>
      <c r="F134" s="66">
        <f t="shared" si="6"/>
        <v>363169.34882438846</v>
      </c>
    </row>
    <row r="135" spans="3:6" x14ac:dyDescent="0.2">
      <c r="C135" s="63">
        <v>0.39999999999997998</v>
      </c>
      <c r="D135" s="64">
        <f t="shared" si="7"/>
        <v>0.34457825838968326</v>
      </c>
      <c r="E135" s="65">
        <f t="shared" si="7"/>
        <v>0.34457825838968326</v>
      </c>
      <c r="F135" s="66">
        <f t="shared" si="6"/>
        <v>344578.25838968327</v>
      </c>
    </row>
    <row r="136" spans="3:6" x14ac:dyDescent="0.2">
      <c r="C136" s="63">
        <v>0.44999999999998003</v>
      </c>
      <c r="D136" s="64">
        <f t="shared" si="7"/>
        <v>0.32635522028792718</v>
      </c>
      <c r="E136" s="65">
        <f t="shared" si="7"/>
        <v>0.32635522028792718</v>
      </c>
      <c r="F136" s="66">
        <f t="shared" si="6"/>
        <v>326355.22028792719</v>
      </c>
    </row>
    <row r="137" spans="3:6" x14ac:dyDescent="0.2">
      <c r="C137" s="63">
        <v>0.49999999999998002</v>
      </c>
      <c r="D137" s="64">
        <f t="shared" si="7"/>
        <v>0.30853753872599388</v>
      </c>
      <c r="E137" s="65">
        <f t="shared" si="7"/>
        <v>0.30853753872599388</v>
      </c>
      <c r="F137" s="66">
        <f t="shared" si="6"/>
        <v>308537.53872599389</v>
      </c>
    </row>
    <row r="138" spans="3:6" x14ac:dyDescent="0.2">
      <c r="C138" s="63">
        <v>0.54999999999997995</v>
      </c>
      <c r="D138" s="64">
        <f t="shared" si="7"/>
        <v>0.29115968678835324</v>
      </c>
      <c r="E138" s="65">
        <f t="shared" si="7"/>
        <v>0.29115968678835324</v>
      </c>
      <c r="F138" s="66">
        <f t="shared" si="6"/>
        <v>291159.68678835325</v>
      </c>
    </row>
    <row r="139" spans="3:6" x14ac:dyDescent="0.2">
      <c r="C139" s="63">
        <v>0.59999999999997999</v>
      </c>
      <c r="D139" s="64">
        <f t="shared" si="7"/>
        <v>0.27425311775008021</v>
      </c>
      <c r="E139" s="65">
        <f t="shared" si="7"/>
        <v>0.27425311775008021</v>
      </c>
      <c r="F139" s="66">
        <f t="shared" si="6"/>
        <v>274253.11775008019</v>
      </c>
    </row>
    <row r="140" spans="3:6" x14ac:dyDescent="0.2">
      <c r="C140" s="63">
        <v>0.64999999999998004</v>
      </c>
      <c r="D140" s="64">
        <f t="shared" si="7"/>
        <v>0.25784611080587116</v>
      </c>
      <c r="E140" s="65">
        <f t="shared" si="7"/>
        <v>0.25784611080587116</v>
      </c>
      <c r="F140" s="66">
        <f t="shared" si="6"/>
        <v>257846.11080587117</v>
      </c>
    </row>
    <row r="141" spans="3:6" x14ac:dyDescent="0.2">
      <c r="C141" s="63">
        <v>0.69999999999997997</v>
      </c>
      <c r="D141" s="64">
        <f t="shared" si="7"/>
        <v>0.24196365222307925</v>
      </c>
      <c r="E141" s="65">
        <f t="shared" si="7"/>
        <v>0.24196365222307925</v>
      </c>
      <c r="F141" s="66">
        <f t="shared" si="6"/>
        <v>241963.65222307926</v>
      </c>
    </row>
    <row r="142" spans="3:6" x14ac:dyDescent="0.2">
      <c r="C142" s="63">
        <v>0.74999999999998002</v>
      </c>
      <c r="D142" s="64">
        <f t="shared" si="7"/>
        <v>0.22662735237687426</v>
      </c>
      <c r="E142" s="65">
        <f t="shared" si="7"/>
        <v>0.22662735237687426</v>
      </c>
      <c r="F142" s="66">
        <f t="shared" si="6"/>
        <v>226627.35237687425</v>
      </c>
    </row>
    <row r="143" spans="3:6" x14ac:dyDescent="0.2">
      <c r="C143" s="63">
        <v>0.79999999999997995</v>
      </c>
      <c r="D143" s="64">
        <f t="shared" si="7"/>
        <v>0.21185539858340241</v>
      </c>
      <c r="E143" s="65">
        <f t="shared" si="7"/>
        <v>0.21185539858340241</v>
      </c>
      <c r="F143" s="66">
        <f t="shared" si="6"/>
        <v>211855.39858340242</v>
      </c>
    </row>
    <row r="144" spans="3:6" x14ac:dyDescent="0.2">
      <c r="C144" s="63">
        <v>0.84999999999997999</v>
      </c>
      <c r="D144" s="64">
        <f t="shared" si="7"/>
        <v>0.19766254312269793</v>
      </c>
      <c r="E144" s="65">
        <f t="shared" si="7"/>
        <v>0.19766254312269793</v>
      </c>
      <c r="F144" s="66">
        <f t="shared" si="6"/>
        <v>197662.54312269794</v>
      </c>
    </row>
    <row r="145" spans="3:6" x14ac:dyDescent="0.2">
      <c r="C145" s="63">
        <v>0.89999999999998004</v>
      </c>
      <c r="D145" s="64">
        <f t="shared" si="7"/>
        <v>0.18406012534676475</v>
      </c>
      <c r="E145" s="65">
        <f t="shared" si="7"/>
        <v>0.18406012534676475</v>
      </c>
      <c r="F145" s="66">
        <f t="shared" si="6"/>
        <v>184060.12534676475</v>
      </c>
    </row>
    <row r="146" spans="3:6" x14ac:dyDescent="0.2">
      <c r="C146" s="63">
        <v>0.94999999999997997</v>
      </c>
      <c r="D146" s="64">
        <f t="shared" si="7"/>
        <v>0.17105612630848688</v>
      </c>
      <c r="E146" s="65">
        <f t="shared" si="7"/>
        <v>0.17105612630848688</v>
      </c>
      <c r="F146" s="66">
        <f t="shared" si="6"/>
        <v>171056.12630848688</v>
      </c>
    </row>
    <row r="147" spans="3:6" x14ac:dyDescent="0.2">
      <c r="C147" s="63">
        <v>0.99999999999998002</v>
      </c>
      <c r="D147" s="64">
        <f t="shared" si="7"/>
        <v>0.15865525393146185</v>
      </c>
      <c r="E147" s="65">
        <f t="shared" si="7"/>
        <v>0.15865525393146185</v>
      </c>
      <c r="F147" s="66">
        <f t="shared" si="6"/>
        <v>158655.25393146186</v>
      </c>
    </row>
    <row r="148" spans="3:6" x14ac:dyDescent="0.2">
      <c r="C148" s="63">
        <v>1.0499999999999701</v>
      </c>
      <c r="D148" s="64">
        <f t="shared" si="7"/>
        <v>0.14685905637590291</v>
      </c>
      <c r="E148" s="65">
        <f t="shared" si="7"/>
        <v>0.14685905637590291</v>
      </c>
      <c r="F148" s="66">
        <f t="shared" si="6"/>
        <v>146859.0563759029</v>
      </c>
    </row>
    <row r="149" spans="3:6" x14ac:dyDescent="0.2">
      <c r="C149" s="63">
        <v>1.0999999999999699</v>
      </c>
      <c r="D149" s="64">
        <f t="shared" si="7"/>
        <v>0.13566606094638911</v>
      </c>
      <c r="E149" s="65">
        <f t="shared" si="7"/>
        <v>0.13566606094638911</v>
      </c>
      <c r="F149" s="66">
        <f t="shared" si="6"/>
        <v>135666.0609463891</v>
      </c>
    </row>
    <row r="150" spans="3:6" x14ac:dyDescent="0.2">
      <c r="C150" s="63">
        <v>1.1499999999999699</v>
      </c>
      <c r="D150" s="64">
        <f t="shared" si="7"/>
        <v>0.12507193563715646</v>
      </c>
      <c r="E150" s="65">
        <f t="shared" si="7"/>
        <v>0.12507193563715646</v>
      </c>
      <c r="F150" s="66">
        <f t="shared" si="6"/>
        <v>125071.93563715646</v>
      </c>
    </row>
    <row r="151" spans="3:6" x14ac:dyDescent="0.2">
      <c r="C151" s="63">
        <v>1.19999999999997</v>
      </c>
      <c r="D151" s="64">
        <f t="shared" si="7"/>
        <v>0.1150696702217141</v>
      </c>
      <c r="E151" s="65">
        <f t="shared" si="7"/>
        <v>0.1150696702217141</v>
      </c>
      <c r="F151" s="66">
        <f t="shared" si="6"/>
        <v>115069.6702217141</v>
      </c>
    </row>
    <row r="152" spans="3:6" x14ac:dyDescent="0.2">
      <c r="C152" s="63">
        <v>1.24999999999997</v>
      </c>
      <c r="D152" s="64">
        <f t="shared" si="7"/>
        <v>0.10564977366686068</v>
      </c>
      <c r="E152" s="65">
        <f t="shared" si="7"/>
        <v>0.10564977366686068</v>
      </c>
      <c r="F152" s="66">
        <f t="shared" si="6"/>
        <v>105649.77366686068</v>
      </c>
    </row>
    <row r="153" spans="3:6" x14ac:dyDescent="0.2">
      <c r="C153" s="63">
        <v>1.2999999999999701</v>
      </c>
      <c r="D153" s="64">
        <f t="shared" si="7"/>
        <v>9.6800484585615409E-2</v>
      </c>
      <c r="E153" s="65">
        <f t="shared" si="7"/>
        <v>9.6800484585615409E-2</v>
      </c>
      <c r="F153" s="66">
        <f t="shared" si="6"/>
        <v>96800.484585615413</v>
      </c>
    </row>
    <row r="154" spans="3:6" x14ac:dyDescent="0.2">
      <c r="C154" s="63">
        <v>1.3499999999999699</v>
      </c>
      <c r="D154" s="64">
        <f t="shared" si="7"/>
        <v>8.8507991437406841E-2</v>
      </c>
      <c r="E154" s="65">
        <f t="shared" si="7"/>
        <v>8.8507991437406841E-2</v>
      </c>
      <c r="F154" s="66">
        <f t="shared" si="6"/>
        <v>88507.991437406847</v>
      </c>
    </row>
    <row r="155" spans="3:6" x14ac:dyDescent="0.2">
      <c r="C155" s="63">
        <v>1.3999999999999699</v>
      </c>
      <c r="D155" s="64">
        <f t="shared" si="7"/>
        <v>8.0756659233775507E-2</v>
      </c>
      <c r="E155" s="65">
        <f t="shared" si="7"/>
        <v>8.0756659233775507E-2</v>
      </c>
      <c r="F155" s="66">
        <f t="shared" si="6"/>
        <v>80756.659233775514</v>
      </c>
    </row>
    <row r="156" spans="3:6" x14ac:dyDescent="0.2">
      <c r="C156" s="63">
        <v>1.44999999999997</v>
      </c>
      <c r="D156" s="64">
        <f t="shared" si="7"/>
        <v>7.3529259609652509E-2</v>
      </c>
      <c r="E156" s="65">
        <f t="shared" si="7"/>
        <v>7.3529259609652509E-2</v>
      </c>
      <c r="F156" s="66">
        <f t="shared" si="6"/>
        <v>73529.259609652509</v>
      </c>
    </row>
    <row r="157" spans="3:6" x14ac:dyDescent="0.2">
      <c r="C157" s="63">
        <v>1.49999999999997</v>
      </c>
      <c r="D157" s="64">
        <f t="shared" si="7"/>
        <v>6.6807201268861971E-2</v>
      </c>
      <c r="E157" s="65">
        <f t="shared" si="7"/>
        <v>6.6807201268861971E-2</v>
      </c>
      <c r="F157" s="66">
        <f t="shared" si="6"/>
        <v>66807.201268861972</v>
      </c>
    </row>
    <row r="158" spans="3:6" x14ac:dyDescent="0.2">
      <c r="C158" s="63">
        <v>1.5499999999999701</v>
      </c>
      <c r="D158" s="64">
        <f t="shared" si="7"/>
        <v>6.0570758002062575E-2</v>
      </c>
      <c r="E158" s="65">
        <f t="shared" si="7"/>
        <v>6.0570758002062575E-2</v>
      </c>
      <c r="F158" s="66">
        <f t="shared" si="6"/>
        <v>60570.758002062576</v>
      </c>
    </row>
    <row r="159" spans="3:6" x14ac:dyDescent="0.2">
      <c r="C159" s="63">
        <v>1.5999999999999699</v>
      </c>
      <c r="D159" s="64">
        <f t="shared" si="7"/>
        <v>5.4799291699561326E-2</v>
      </c>
      <c r="E159" s="65">
        <f t="shared" si="7"/>
        <v>5.4799291699561326E-2</v>
      </c>
      <c r="F159" s="66">
        <f t="shared" si="6"/>
        <v>54799.291699561327</v>
      </c>
    </row>
    <row r="160" spans="3:6" x14ac:dyDescent="0.2">
      <c r="C160" s="63">
        <v>1.6499999999999699</v>
      </c>
      <c r="D160" s="64">
        <f t="shared" si="7"/>
        <v>4.9471468033651211E-2</v>
      </c>
      <c r="E160" s="65">
        <f t="shared" si="7"/>
        <v>4.9471468033651211E-2</v>
      </c>
      <c r="F160" s="66">
        <f t="shared" si="6"/>
        <v>49471.46803365121</v>
      </c>
    </row>
    <row r="161" spans="3:6" x14ac:dyDescent="0.2">
      <c r="C161" s="63">
        <v>1.69999999999997</v>
      </c>
      <c r="D161" s="64">
        <f t="shared" si="7"/>
        <v>4.4565462758545893E-2</v>
      </c>
      <c r="E161" s="65">
        <f t="shared" si="7"/>
        <v>4.4565462758545893E-2</v>
      </c>
      <c r="F161" s="66">
        <f t="shared" si="6"/>
        <v>44565.462758545895</v>
      </c>
    </row>
    <row r="162" spans="3:6" x14ac:dyDescent="0.2">
      <c r="C162" s="63">
        <v>1.74999999999997</v>
      </c>
      <c r="D162" s="64">
        <f t="shared" si="7"/>
        <v>4.0059156863819667E-2</v>
      </c>
      <c r="E162" s="65">
        <f t="shared" si="7"/>
        <v>4.0059156863819667E-2</v>
      </c>
      <c r="F162" s="66">
        <f t="shared" ref="F162:F225" si="8">D162*1000000</f>
        <v>40059.15686381967</v>
      </c>
    </row>
    <row r="163" spans="3:6" x14ac:dyDescent="0.2">
      <c r="C163" s="63">
        <v>1.7999999999999701</v>
      </c>
      <c r="D163" s="64">
        <f t="shared" si="7"/>
        <v>3.5930319112928211E-2</v>
      </c>
      <c r="E163" s="65">
        <f t="shared" si="7"/>
        <v>3.5930319112928211E-2</v>
      </c>
      <c r="F163" s="66">
        <f t="shared" si="8"/>
        <v>35930.319112928213</v>
      </c>
    </row>
    <row r="164" spans="3:6" x14ac:dyDescent="0.2">
      <c r="C164" s="63">
        <v>1.8499999999999699</v>
      </c>
      <c r="D164" s="64">
        <f t="shared" si="7"/>
        <v>3.215677479561585E-2</v>
      </c>
      <c r="E164" s="65">
        <f t="shared" si="7"/>
        <v>3.215677479561585E-2</v>
      </c>
      <c r="F164" s="66">
        <f t="shared" si="8"/>
        <v>32156.774795615849</v>
      </c>
    </row>
    <row r="165" spans="3:6" x14ac:dyDescent="0.2">
      <c r="C165" s="63">
        <v>1.8999999999999699</v>
      </c>
      <c r="D165" s="64">
        <f t="shared" si="7"/>
        <v>2.8716559816003739E-2</v>
      </c>
      <c r="E165" s="65">
        <f t="shared" si="7"/>
        <v>2.8716559816003739E-2</v>
      </c>
      <c r="F165" s="66">
        <f t="shared" si="8"/>
        <v>28716.559816003741</v>
      </c>
    </row>
    <row r="166" spans="3:6" x14ac:dyDescent="0.2">
      <c r="C166" s="63">
        <v>1.94999999999997</v>
      </c>
      <c r="D166" s="64">
        <f t="shared" si="7"/>
        <v>2.5588059521640449E-2</v>
      </c>
      <c r="E166" s="65">
        <f t="shared" si="7"/>
        <v>2.5588059521640449E-2</v>
      </c>
      <c r="F166" s="66">
        <f t="shared" si="8"/>
        <v>25588.059521640451</v>
      </c>
    </row>
    <row r="167" spans="3:6" x14ac:dyDescent="0.2">
      <c r="C167" s="63">
        <v>1.99999999999997</v>
      </c>
      <c r="D167" s="64">
        <f t="shared" si="7"/>
        <v>2.2750131948180763E-2</v>
      </c>
      <c r="E167" s="65">
        <f t="shared" si="7"/>
        <v>2.2750131948180763E-2</v>
      </c>
      <c r="F167" s="66">
        <f t="shared" si="8"/>
        <v>22750.131948180762</v>
      </c>
    </row>
    <row r="168" spans="3:6" x14ac:dyDescent="0.2">
      <c r="C168" s="63">
        <v>2.0499999999999701</v>
      </c>
      <c r="D168" s="64">
        <f t="shared" si="7"/>
        <v>2.0182215405705861E-2</v>
      </c>
      <c r="E168" s="65">
        <f t="shared" si="7"/>
        <v>2.0182215405705861E-2</v>
      </c>
      <c r="F168" s="66">
        <f t="shared" si="8"/>
        <v>20182.215405705861</v>
      </c>
    </row>
    <row r="169" spans="3:6" x14ac:dyDescent="0.2">
      <c r="C169" s="63">
        <v>2.0999999999999699</v>
      </c>
      <c r="D169" s="64">
        <f t="shared" si="7"/>
        <v>1.7864420562817895E-2</v>
      </c>
      <c r="E169" s="65">
        <f t="shared" si="7"/>
        <v>1.7864420562817895E-2</v>
      </c>
      <c r="F169" s="66">
        <f t="shared" si="8"/>
        <v>17864.420562817897</v>
      </c>
    </row>
    <row r="170" spans="3:6" x14ac:dyDescent="0.2">
      <c r="C170" s="63">
        <v>2.1499999999999702</v>
      </c>
      <c r="D170" s="64">
        <f t="shared" si="7"/>
        <v>1.5777607391091686E-2</v>
      </c>
      <c r="E170" s="65">
        <f t="shared" si="7"/>
        <v>1.5777607391091686E-2</v>
      </c>
      <c r="F170" s="66">
        <f t="shared" si="8"/>
        <v>15777.607391091686</v>
      </c>
    </row>
    <row r="171" spans="3:6" x14ac:dyDescent="0.2">
      <c r="C171" s="63">
        <v>2.19999999999997</v>
      </c>
      <c r="D171" s="64">
        <f t="shared" si="7"/>
        <v>1.39034475134997E-2</v>
      </c>
      <c r="E171" s="65">
        <f t="shared" si="7"/>
        <v>1.39034475134997E-2</v>
      </c>
      <c r="F171" s="66">
        <f t="shared" si="8"/>
        <v>13903.447513499701</v>
      </c>
    </row>
    <row r="172" spans="3:6" x14ac:dyDescent="0.2">
      <c r="C172" s="63">
        <v>2.2499999999999698</v>
      </c>
      <c r="D172" s="64">
        <f t="shared" si="7"/>
        <v>1.2224472655045671E-2</v>
      </c>
      <c r="E172" s="65">
        <f t="shared" si="7"/>
        <v>1.2224472655045671E-2</v>
      </c>
      <c r="F172" s="66">
        <f t="shared" si="8"/>
        <v>12224.472655045671</v>
      </c>
    </row>
    <row r="173" spans="3:6" x14ac:dyDescent="0.2">
      <c r="C173" s="63">
        <v>2.2999999999999701</v>
      </c>
      <c r="D173" s="64">
        <f t="shared" si="7"/>
        <v>1.0724110021676614E-2</v>
      </c>
      <c r="E173" s="65">
        <f t="shared" si="7"/>
        <v>1.0724110021676614E-2</v>
      </c>
      <c r="F173" s="66">
        <f t="shared" si="8"/>
        <v>10724.110021676614</v>
      </c>
    </row>
    <row r="174" spans="3:6" x14ac:dyDescent="0.2">
      <c r="C174" s="63">
        <v>2.3499999999999699</v>
      </c>
      <c r="D174" s="64">
        <f t="shared" si="7"/>
        <v>9.3867055348393347E-3</v>
      </c>
      <c r="E174" s="65">
        <f t="shared" si="7"/>
        <v>9.3867055348393347E-3</v>
      </c>
      <c r="F174" s="66">
        <f t="shared" si="8"/>
        <v>9386.7055348393351</v>
      </c>
    </row>
    <row r="175" spans="3:6" x14ac:dyDescent="0.2">
      <c r="C175" s="63">
        <v>2.3999999999999702</v>
      </c>
      <c r="D175" s="64">
        <f t="shared" si="7"/>
        <v>8.1975359245968216E-3</v>
      </c>
      <c r="E175" s="65">
        <f t="shared" si="7"/>
        <v>8.1975359245968216E-3</v>
      </c>
      <c r="F175" s="66">
        <f t="shared" si="8"/>
        <v>8197.5359245968211</v>
      </c>
    </row>
    <row r="176" spans="3:6" x14ac:dyDescent="0.2">
      <c r="C176" s="63">
        <v>2.44999999999997</v>
      </c>
      <c r="D176" s="64">
        <f t="shared" si="7"/>
        <v>7.1428107352720094E-3</v>
      </c>
      <c r="E176" s="65">
        <f t="shared" si="7"/>
        <v>7.1428107352720094E-3</v>
      </c>
      <c r="F176" s="66">
        <f t="shared" si="8"/>
        <v>7142.810735272009</v>
      </c>
    </row>
    <row r="177" spans="3:6" x14ac:dyDescent="0.2">
      <c r="C177" s="63">
        <v>2.4999999999999698</v>
      </c>
      <c r="D177" s="64">
        <f t="shared" si="7"/>
        <v>6.2096653257767143E-3</v>
      </c>
      <c r="E177" s="65">
        <f t="shared" si="7"/>
        <v>6.2096653257767143E-3</v>
      </c>
      <c r="F177" s="66">
        <f t="shared" si="8"/>
        <v>6209.6653257767139</v>
      </c>
    </row>
    <row r="178" spans="3:6" x14ac:dyDescent="0.2">
      <c r="C178" s="63">
        <v>2.5499999999999701</v>
      </c>
      <c r="D178" s="64">
        <f t="shared" si="7"/>
        <v>5.3861459540671675E-3</v>
      </c>
      <c r="E178" s="65">
        <f t="shared" si="7"/>
        <v>5.3861459540671675E-3</v>
      </c>
      <c r="F178" s="66">
        <f t="shared" si="8"/>
        <v>5386.1459540671676</v>
      </c>
    </row>
    <row r="179" spans="3:6" x14ac:dyDescent="0.2">
      <c r="C179" s="63">
        <v>2.5999999999999699</v>
      </c>
      <c r="D179" s="64">
        <f t="shared" si="7"/>
        <v>4.6611880237191761E-3</v>
      </c>
      <c r="E179" s="65">
        <f t="shared" si="7"/>
        <v>4.6611880237191761E-3</v>
      </c>
      <c r="F179" s="66">
        <f t="shared" si="8"/>
        <v>4661.1880237191763</v>
      </c>
    </row>
    <row r="180" spans="3:6" x14ac:dyDescent="0.2">
      <c r="C180" s="63">
        <v>2.6499999999999702</v>
      </c>
      <c r="D180" s="64">
        <f t="shared" si="7"/>
        <v>4.024588542758667E-3</v>
      </c>
      <c r="E180" s="65">
        <f t="shared" si="7"/>
        <v>4.024588542758667E-3</v>
      </c>
      <c r="F180" s="66">
        <f t="shared" si="8"/>
        <v>4024.5885427586668</v>
      </c>
    </row>
    <row r="181" spans="3:6" x14ac:dyDescent="0.2">
      <c r="C181" s="63">
        <v>2.69999999999997</v>
      </c>
      <c r="D181" s="64">
        <f t="shared" si="7"/>
        <v>3.4669738030409514E-3</v>
      </c>
      <c r="E181" s="65">
        <f t="shared" si="7"/>
        <v>3.4669738030409514E-3</v>
      </c>
      <c r="F181" s="66">
        <f t="shared" si="8"/>
        <v>3466.9738030409512</v>
      </c>
    </row>
    <row r="182" spans="3:6" x14ac:dyDescent="0.2">
      <c r="C182" s="63">
        <v>2.7499999999999698</v>
      </c>
      <c r="D182" s="64">
        <f t="shared" si="7"/>
        <v>2.9797632350547776E-3</v>
      </c>
      <c r="E182" s="65">
        <f t="shared" si="7"/>
        <v>2.9797632350547776E-3</v>
      </c>
      <c r="F182" s="66">
        <f t="shared" si="8"/>
        <v>2979.7632350547774</v>
      </c>
    </row>
    <row r="183" spans="3:6" x14ac:dyDescent="0.2">
      <c r="C183" s="63">
        <v>2.7999999999999701</v>
      </c>
      <c r="D183" s="64">
        <f t="shared" si="7"/>
        <v>2.5551303304282014E-3</v>
      </c>
      <c r="E183" s="65">
        <f t="shared" si="7"/>
        <v>2.5551303304282014E-3</v>
      </c>
      <c r="F183" s="66">
        <f t="shared" si="8"/>
        <v>2555.1303304282014</v>
      </c>
    </row>
    <row r="184" spans="3:6" x14ac:dyDescent="0.2">
      <c r="C184" s="63">
        <v>2.8499999999999699</v>
      </c>
      <c r="D184" s="64">
        <f t="shared" si="7"/>
        <v>2.1859614549134543E-3</v>
      </c>
      <c r="E184" s="65">
        <f t="shared" si="7"/>
        <v>2.1859614549134543E-3</v>
      </c>
      <c r="F184" s="66">
        <f t="shared" si="8"/>
        <v>2185.9614549134544</v>
      </c>
    </row>
    <row r="185" spans="3:6" x14ac:dyDescent="0.2">
      <c r="C185" s="63">
        <v>2.8999999999999702</v>
      </c>
      <c r="D185" s="64">
        <f t="shared" si="7"/>
        <v>1.865813300384267E-3</v>
      </c>
      <c r="E185" s="65">
        <f t="shared" si="7"/>
        <v>1.865813300384267E-3</v>
      </c>
      <c r="F185" s="66">
        <f t="shared" si="8"/>
        <v>1865.813300384267</v>
      </c>
    </row>
    <row r="186" spans="3:6" x14ac:dyDescent="0.2">
      <c r="C186" s="63">
        <v>2.94999999999997</v>
      </c>
      <c r="D186" s="64">
        <f t="shared" si="7"/>
        <v>1.5888696473650432E-3</v>
      </c>
      <c r="E186" s="65">
        <f t="shared" si="7"/>
        <v>1.5888696473650432E-3</v>
      </c>
      <c r="F186" s="66">
        <f t="shared" si="8"/>
        <v>1588.8696473650432</v>
      </c>
    </row>
    <row r="187" spans="3:6" x14ac:dyDescent="0.2">
      <c r="C187" s="63">
        <v>2.9999999999999698</v>
      </c>
      <c r="D187" s="64">
        <f t="shared" si="7"/>
        <v>1.3498980316302145E-3</v>
      </c>
      <c r="E187" s="65">
        <f t="shared" si="7"/>
        <v>1.3498980316302145E-3</v>
      </c>
      <c r="F187" s="66">
        <f t="shared" si="8"/>
        <v>1349.8980316302145</v>
      </c>
    </row>
    <row r="188" spans="3:6" x14ac:dyDescent="0.2">
      <c r="C188" s="63">
        <v>3.0499999999999701</v>
      </c>
      <c r="D188" s="64">
        <f t="shared" si="7"/>
        <v>1.1442068310227871E-3</v>
      </c>
      <c r="E188" s="65">
        <f t="shared" si="7"/>
        <v>1.1442068310227871E-3</v>
      </c>
      <c r="F188" s="66">
        <f t="shared" si="8"/>
        <v>1144.2068310227871</v>
      </c>
    </row>
    <row r="189" spans="3:6" x14ac:dyDescent="0.2">
      <c r="C189" s="63">
        <v>3.0999999999999699</v>
      </c>
      <c r="D189" s="64">
        <f t="shared" si="7"/>
        <v>9.6760321321842646E-4</v>
      </c>
      <c r="E189" s="65">
        <f t="shared" si="7"/>
        <v>9.6760321321842646E-4</v>
      </c>
      <c r="F189" s="66">
        <f t="shared" si="8"/>
        <v>967.6032132184265</v>
      </c>
    </row>
    <row r="190" spans="3:6" x14ac:dyDescent="0.2">
      <c r="C190" s="63">
        <v>3.1499999999999702</v>
      </c>
      <c r="D190" s="64">
        <f t="shared" si="7"/>
        <v>8.1635231282861653E-4</v>
      </c>
      <c r="E190" s="65">
        <f t="shared" si="7"/>
        <v>8.1635231282861653E-4</v>
      </c>
      <c r="F190" s="66">
        <f t="shared" si="8"/>
        <v>816.3523128286165</v>
      </c>
    </row>
    <row r="191" spans="3:6" x14ac:dyDescent="0.2">
      <c r="C191" s="63">
        <v>3.19999999999997</v>
      </c>
      <c r="D191" s="64">
        <f t="shared" si="7"/>
        <v>6.8713793791597144E-4</v>
      </c>
      <c r="E191" s="65">
        <f t="shared" si="7"/>
        <v>6.8713793791597144E-4</v>
      </c>
      <c r="F191" s="66">
        <f t="shared" si="8"/>
        <v>687.13793791597141</v>
      </c>
    </row>
    <row r="192" spans="3:6" x14ac:dyDescent="0.2">
      <c r="C192" s="63">
        <v>3.2499999999999698</v>
      </c>
      <c r="D192" s="64">
        <f t="shared" si="7"/>
        <v>5.7702504239087737E-4</v>
      </c>
      <c r="E192" s="65">
        <f t="shared" si="7"/>
        <v>5.7702504239087737E-4</v>
      </c>
      <c r="F192" s="66">
        <f t="shared" si="8"/>
        <v>577.02504239087739</v>
      </c>
    </row>
    <row r="193" spans="3:6" x14ac:dyDescent="0.2">
      <c r="C193" s="63">
        <v>3.2999999999999701</v>
      </c>
      <c r="D193" s="64">
        <f t="shared" si="7"/>
        <v>4.8342414238378151E-4</v>
      </c>
      <c r="E193" s="65">
        <f t="shared" si="7"/>
        <v>4.8342414238378151E-4</v>
      </c>
      <c r="F193" s="66">
        <f t="shared" si="8"/>
        <v>483.42414238378149</v>
      </c>
    </row>
    <row r="194" spans="3:6" x14ac:dyDescent="0.2">
      <c r="C194" s="63">
        <v>3.3499999999999699</v>
      </c>
      <c r="D194" s="64">
        <f t="shared" ref="D194:E247" si="9">1-NORMSDIST($C194)</f>
        <v>4.0405780186403284E-4</v>
      </c>
      <c r="E194" s="65">
        <f t="shared" si="9"/>
        <v>4.0405780186403284E-4</v>
      </c>
      <c r="F194" s="66">
        <f t="shared" si="8"/>
        <v>404.05780186403285</v>
      </c>
    </row>
    <row r="195" spans="3:6" x14ac:dyDescent="0.2">
      <c r="C195" s="63">
        <v>3.3999999999999702</v>
      </c>
      <c r="D195" s="64">
        <f t="shared" si="9"/>
        <v>3.3692926567696624E-4</v>
      </c>
      <c r="E195" s="65">
        <f t="shared" si="9"/>
        <v>3.3692926567696624E-4</v>
      </c>
      <c r="F195" s="66">
        <f t="shared" si="8"/>
        <v>336.92926567696622</v>
      </c>
    </row>
    <row r="196" spans="3:6" x14ac:dyDescent="0.2">
      <c r="C196" s="63">
        <v>3.44999999999997</v>
      </c>
      <c r="D196" s="64">
        <f t="shared" si="9"/>
        <v>2.8029327681622362E-4</v>
      </c>
      <c r="E196" s="65">
        <f t="shared" si="9"/>
        <v>2.8029327681622362E-4</v>
      </c>
      <c r="F196" s="66">
        <f t="shared" si="8"/>
        <v>280.29327681622362</v>
      </c>
    </row>
    <row r="197" spans="3:6" x14ac:dyDescent="0.2">
      <c r="C197" s="63">
        <v>3.4999999999999698</v>
      </c>
      <c r="D197" s="64">
        <f t="shared" si="9"/>
        <v>2.3262907903554009E-4</v>
      </c>
      <c r="E197" s="65">
        <f t="shared" si="9"/>
        <v>2.3262907903554009E-4</v>
      </c>
      <c r="F197" s="66">
        <f t="shared" si="8"/>
        <v>232.62907903554009</v>
      </c>
    </row>
    <row r="198" spans="3:6" x14ac:dyDescent="0.2">
      <c r="C198" s="63">
        <v>3.5499999999999701</v>
      </c>
      <c r="D198" s="64">
        <f t="shared" si="9"/>
        <v>1.9261557563565734E-4</v>
      </c>
      <c r="E198" s="65">
        <f t="shared" si="9"/>
        <v>1.9261557563565734E-4</v>
      </c>
      <c r="F198" s="66">
        <f t="shared" si="8"/>
        <v>192.61557563565734</v>
      </c>
    </row>
    <row r="199" spans="3:6" x14ac:dyDescent="0.2">
      <c r="C199" s="63">
        <v>3.5999999999999699</v>
      </c>
      <c r="D199" s="64">
        <f t="shared" si="9"/>
        <v>1.5910859015755285E-4</v>
      </c>
      <c r="E199" s="65">
        <f t="shared" si="9"/>
        <v>1.5910859015755285E-4</v>
      </c>
      <c r="F199" s="66">
        <f t="shared" si="8"/>
        <v>159.10859015755284</v>
      </c>
    </row>
    <row r="200" spans="3:6" x14ac:dyDescent="0.2">
      <c r="C200" s="63">
        <v>3.6499999999999702</v>
      </c>
      <c r="D200" s="64">
        <f t="shared" si="9"/>
        <v>1.311201544205165E-4</v>
      </c>
      <c r="E200" s="65">
        <f t="shared" si="9"/>
        <v>1.311201544205165E-4</v>
      </c>
      <c r="F200" s="66">
        <f t="shared" si="8"/>
        <v>131.12015442051649</v>
      </c>
    </row>
    <row r="201" spans="3:6" x14ac:dyDescent="0.2">
      <c r="C201" s="63">
        <v>3.69999999999997</v>
      </c>
      <c r="D201" s="64">
        <f t="shared" si="9"/>
        <v>1.0779973347740945E-4</v>
      </c>
      <c r="E201" s="65">
        <f t="shared" si="9"/>
        <v>1.0779973347740945E-4</v>
      </c>
      <c r="F201" s="66">
        <f t="shared" si="8"/>
        <v>107.79973347740946</v>
      </c>
    </row>
    <row r="202" spans="3:6" x14ac:dyDescent="0.2">
      <c r="C202" s="63">
        <v>3.74999999999996</v>
      </c>
      <c r="D202" s="64">
        <f t="shared" si="9"/>
        <v>8.841728520081471E-5</v>
      </c>
      <c r="E202" s="65">
        <f t="shared" si="9"/>
        <v>8.841728520081471E-5</v>
      </c>
      <c r="F202" s="66">
        <f t="shared" si="8"/>
        <v>88.417285200814717</v>
      </c>
    </row>
    <row r="203" spans="3:6" x14ac:dyDescent="0.2">
      <c r="C203" s="63">
        <v>3.7999999999999701</v>
      </c>
      <c r="D203" s="64">
        <f t="shared" si="9"/>
        <v>7.2348043925085648E-5</v>
      </c>
      <c r="E203" s="65">
        <f t="shared" si="9"/>
        <v>7.2348043925085648E-5</v>
      </c>
      <c r="F203" s="66">
        <f t="shared" si="8"/>
        <v>72.348043925085648</v>
      </c>
    </row>
    <row r="204" spans="3:6" x14ac:dyDescent="0.2">
      <c r="C204" s="63">
        <v>3.8499999999999699</v>
      </c>
      <c r="D204" s="64">
        <f t="shared" si="9"/>
        <v>5.905891241897443E-5</v>
      </c>
      <c r="E204" s="65">
        <f t="shared" si="9"/>
        <v>5.905891241897443E-5</v>
      </c>
      <c r="F204" s="66">
        <f t="shared" si="8"/>
        <v>59.05891241897443</v>
      </c>
    </row>
    <row r="205" spans="3:6" x14ac:dyDescent="0.2">
      <c r="C205" s="63">
        <v>3.8999999999999599</v>
      </c>
      <c r="D205" s="64">
        <f t="shared" si="9"/>
        <v>4.8096344017589665E-5</v>
      </c>
      <c r="E205" s="65">
        <f t="shared" si="9"/>
        <v>4.8096344017589665E-5</v>
      </c>
      <c r="F205" s="66">
        <f t="shared" si="8"/>
        <v>48.096344017589665</v>
      </c>
    </row>
    <row r="206" spans="3:6" x14ac:dyDescent="0.2">
      <c r="C206" s="63">
        <v>3.9499999999999602</v>
      </c>
      <c r="D206" s="64">
        <f t="shared" si="9"/>
        <v>3.9075596597770712E-5</v>
      </c>
      <c r="E206" s="65">
        <f t="shared" si="9"/>
        <v>3.9075596597770712E-5</v>
      </c>
      <c r="F206" s="66">
        <f t="shared" si="8"/>
        <v>39.075596597770712</v>
      </c>
    </row>
    <row r="207" spans="3:6" x14ac:dyDescent="0.2">
      <c r="C207" s="63">
        <v>3.99999999999996</v>
      </c>
      <c r="D207" s="64">
        <f t="shared" si="9"/>
        <v>3.1671241833119979E-5</v>
      </c>
      <c r="E207" s="65">
        <f t="shared" si="9"/>
        <v>3.1671241833119979E-5</v>
      </c>
      <c r="F207" s="66">
        <f t="shared" si="8"/>
        <v>31.671241833119979</v>
      </c>
    </row>
    <row r="208" spans="3:6" x14ac:dyDescent="0.2">
      <c r="C208" s="63">
        <v>4.05</v>
      </c>
      <c r="D208" s="64">
        <f t="shared" si="9"/>
        <v>2.5608816474065321E-5</v>
      </c>
      <c r="E208" s="65">
        <f t="shared" si="9"/>
        <v>2.5608816474065321E-5</v>
      </c>
      <c r="F208" s="66">
        <f t="shared" si="8"/>
        <v>25.608816474065321</v>
      </c>
    </row>
    <row r="209" spans="3:6" x14ac:dyDescent="0.2">
      <c r="C209" s="63">
        <v>4.0999999999999996</v>
      </c>
      <c r="D209" s="64">
        <f t="shared" si="9"/>
        <v>2.0657506912491463E-5</v>
      </c>
      <c r="E209" s="65">
        <f t="shared" si="9"/>
        <v>2.0657506912491463E-5</v>
      </c>
      <c r="F209" s="66">
        <f t="shared" si="8"/>
        <v>20.657506912491463</v>
      </c>
    </row>
    <row r="210" spans="3:6" x14ac:dyDescent="0.2">
      <c r="C210" s="63">
        <v>4.1500000000000004</v>
      </c>
      <c r="D210" s="64">
        <f t="shared" si="9"/>
        <v>1.6623763729683994E-5</v>
      </c>
      <c r="E210" s="65">
        <f t="shared" si="9"/>
        <v>1.6623763729683994E-5</v>
      </c>
      <c r="F210" s="66">
        <f t="shared" si="8"/>
        <v>16.623763729683994</v>
      </c>
    </row>
    <row r="211" spans="3:6" x14ac:dyDescent="0.2">
      <c r="C211" s="63">
        <v>4.2</v>
      </c>
      <c r="D211" s="64">
        <f t="shared" si="9"/>
        <v>1.3345749015902797E-5</v>
      </c>
      <c r="E211" s="65">
        <f t="shared" si="9"/>
        <v>1.3345749015902797E-5</v>
      </c>
      <c r="F211" s="66">
        <f t="shared" si="8"/>
        <v>13.345749015902797</v>
      </c>
    </row>
    <row r="212" spans="3:6" x14ac:dyDescent="0.2">
      <c r="C212" s="63">
        <v>4.25</v>
      </c>
      <c r="D212" s="64">
        <f t="shared" si="9"/>
        <v>1.0688525774904534E-5</v>
      </c>
      <c r="E212" s="65">
        <f t="shared" si="9"/>
        <v>1.0688525774904534E-5</v>
      </c>
      <c r="F212" s="66">
        <f t="shared" si="8"/>
        <v>10.688525774904534</v>
      </c>
    </row>
    <row r="213" spans="3:6" x14ac:dyDescent="0.2">
      <c r="C213" s="63">
        <v>4.3</v>
      </c>
      <c r="D213" s="64">
        <f t="shared" si="9"/>
        <v>8.5399054710055822E-6</v>
      </c>
      <c r="E213" s="65">
        <f t="shared" si="9"/>
        <v>8.5399054710055822E-6</v>
      </c>
      <c r="F213" s="67">
        <f t="shared" si="8"/>
        <v>8.5399054710055822</v>
      </c>
    </row>
    <row r="214" spans="3:6" x14ac:dyDescent="0.2">
      <c r="C214" s="63">
        <v>4.3499999999999996</v>
      </c>
      <c r="D214" s="64">
        <f t="shared" si="9"/>
        <v>6.8068765993745117E-6</v>
      </c>
      <c r="E214" s="65">
        <f t="shared" si="9"/>
        <v>6.8068765993745117E-6</v>
      </c>
      <c r="F214" s="67">
        <f t="shared" si="8"/>
        <v>6.8068765993745117</v>
      </c>
    </row>
    <row r="215" spans="3:6" x14ac:dyDescent="0.2">
      <c r="C215" s="63">
        <v>4.4000000000000004</v>
      </c>
      <c r="D215" s="64">
        <f t="shared" si="9"/>
        <v>5.4125439077346016E-6</v>
      </c>
      <c r="E215" s="65">
        <f t="shared" si="9"/>
        <v>5.4125439077346016E-6</v>
      </c>
      <c r="F215" s="67">
        <f t="shared" si="8"/>
        <v>5.4125439077346016</v>
      </c>
    </row>
    <row r="216" spans="3:6" x14ac:dyDescent="0.2">
      <c r="C216" s="63">
        <v>4.45</v>
      </c>
      <c r="D216" s="64">
        <f t="shared" si="9"/>
        <v>4.2935144699551842E-6</v>
      </c>
      <c r="E216" s="65">
        <f t="shared" si="9"/>
        <v>4.2935144699551842E-6</v>
      </c>
      <c r="F216" s="67">
        <f t="shared" si="8"/>
        <v>4.2935144699551842</v>
      </c>
    </row>
    <row r="217" spans="3:6" s="14" customFormat="1" x14ac:dyDescent="0.2">
      <c r="C217" s="50">
        <v>4.5</v>
      </c>
      <c r="D217" s="51">
        <f t="shared" si="9"/>
        <v>3.3976731247387093E-6</v>
      </c>
      <c r="E217" s="52">
        <f t="shared" si="9"/>
        <v>3.3976731247387093E-6</v>
      </c>
      <c r="F217" s="53">
        <f t="shared" si="8"/>
        <v>3.3976731247387093</v>
      </c>
    </row>
    <row r="218" spans="3:6" x14ac:dyDescent="0.2">
      <c r="C218" s="63">
        <v>4.55</v>
      </c>
      <c r="D218" s="64">
        <f t="shared" si="9"/>
        <v>2.6822957795991087E-6</v>
      </c>
      <c r="E218" s="65">
        <f t="shared" si="9"/>
        <v>2.6822957795991087E-6</v>
      </c>
      <c r="F218" s="67">
        <f t="shared" si="8"/>
        <v>2.6822957795991087</v>
      </c>
    </row>
    <row r="219" spans="3:6" x14ac:dyDescent="0.2">
      <c r="C219" s="63">
        <v>4.5999999999999996</v>
      </c>
      <c r="D219" s="64">
        <f t="shared" si="9"/>
        <v>2.1124547024964357E-6</v>
      </c>
      <c r="E219" s="65">
        <f t="shared" si="9"/>
        <v>2.1124547024964357E-6</v>
      </c>
      <c r="F219" s="67">
        <f t="shared" si="8"/>
        <v>2.1124547024964357</v>
      </c>
    </row>
    <row r="220" spans="3:6" x14ac:dyDescent="0.2">
      <c r="C220" s="63">
        <v>4.6500000000000004</v>
      </c>
      <c r="D220" s="64">
        <f t="shared" si="9"/>
        <v>1.6596751443165303E-6</v>
      </c>
      <c r="E220" s="65">
        <f t="shared" si="9"/>
        <v>1.6596751443165303E-6</v>
      </c>
      <c r="F220" s="67">
        <f t="shared" si="8"/>
        <v>1.6596751443165303</v>
      </c>
    </row>
    <row r="221" spans="3:6" x14ac:dyDescent="0.2">
      <c r="C221" s="63">
        <v>4.7</v>
      </c>
      <c r="D221" s="64">
        <f t="shared" si="9"/>
        <v>1.3008074538634062E-6</v>
      </c>
      <c r="E221" s="65">
        <f t="shared" si="9"/>
        <v>1.3008074538634062E-6</v>
      </c>
      <c r="F221" s="67">
        <f t="shared" si="8"/>
        <v>1.3008074538634062</v>
      </c>
    </row>
    <row r="222" spans="3:6" x14ac:dyDescent="0.2">
      <c r="C222" s="63">
        <v>4.75</v>
      </c>
      <c r="D222" s="64">
        <f t="shared" si="9"/>
        <v>1.017083242516037E-6</v>
      </c>
      <c r="E222" s="65">
        <f t="shared" si="9"/>
        <v>1.017083242516037E-6</v>
      </c>
      <c r="F222" s="67">
        <f t="shared" si="8"/>
        <v>1.017083242516037</v>
      </c>
    </row>
    <row r="223" spans="3:6" x14ac:dyDescent="0.2">
      <c r="C223" s="63">
        <v>4.8</v>
      </c>
      <c r="D223" s="64">
        <f t="shared" si="9"/>
        <v>7.9332815194899098E-7</v>
      </c>
      <c r="E223" s="65">
        <f t="shared" si="9"/>
        <v>7.9332815194899098E-7</v>
      </c>
      <c r="F223" s="67">
        <f t="shared" si="8"/>
        <v>0.79332815194899098</v>
      </c>
    </row>
    <row r="224" spans="3:6" x14ac:dyDescent="0.2">
      <c r="C224" s="63">
        <v>4.8499999999999996</v>
      </c>
      <c r="D224" s="64">
        <f t="shared" si="9"/>
        <v>6.173073719972777E-7</v>
      </c>
      <c r="E224" s="65">
        <f t="shared" si="9"/>
        <v>6.173073719972777E-7</v>
      </c>
      <c r="F224" s="67">
        <f t="shared" si="8"/>
        <v>0.6173073719972777</v>
      </c>
    </row>
    <row r="225" spans="3:6" x14ac:dyDescent="0.2">
      <c r="C225" s="63">
        <v>4.9000000000000004</v>
      </c>
      <c r="D225" s="64">
        <f t="shared" si="9"/>
        <v>4.7918327661378157E-7</v>
      </c>
      <c r="E225" s="65">
        <f t="shared" si="9"/>
        <v>4.7918327661378157E-7</v>
      </c>
      <c r="F225" s="67">
        <f t="shared" si="8"/>
        <v>0.47918327661378157</v>
      </c>
    </row>
    <row r="226" spans="3:6" x14ac:dyDescent="0.2">
      <c r="C226" s="63">
        <v>4.95</v>
      </c>
      <c r="D226" s="64">
        <f t="shared" si="9"/>
        <v>3.7106740791159609E-7</v>
      </c>
      <c r="E226" s="65">
        <f t="shared" si="9"/>
        <v>3.7106740791159609E-7</v>
      </c>
      <c r="F226" s="67">
        <f t="shared" ref="F226:F247" si="10">D226*1000000</f>
        <v>0.37106740791159609</v>
      </c>
    </row>
    <row r="227" spans="3:6" x14ac:dyDescent="0.2">
      <c r="C227" s="63">
        <v>5</v>
      </c>
      <c r="D227" s="64">
        <f t="shared" si="9"/>
        <v>2.8665157192353519E-7</v>
      </c>
      <c r="E227" s="65">
        <f t="shared" si="9"/>
        <v>2.8665157192353519E-7</v>
      </c>
      <c r="F227" s="67">
        <f t="shared" si="10"/>
        <v>0.28665157192353519</v>
      </c>
    </row>
    <row r="228" spans="3:6" x14ac:dyDescent="0.2">
      <c r="C228" s="63">
        <v>5.05</v>
      </c>
      <c r="D228" s="64">
        <f t="shared" si="9"/>
        <v>2.2090503226657177E-7</v>
      </c>
      <c r="E228" s="65">
        <f t="shared" si="9"/>
        <v>2.2090503226657177E-7</v>
      </c>
      <c r="F228" s="67">
        <f t="shared" si="10"/>
        <v>0.22090503226657177</v>
      </c>
    </row>
    <row r="229" spans="3:6" x14ac:dyDescent="0.2">
      <c r="C229" s="63">
        <v>5.0999999999999996</v>
      </c>
      <c r="D229" s="64">
        <f t="shared" si="9"/>
        <v>1.698267406702314E-7</v>
      </c>
      <c r="E229" s="65">
        <f t="shared" si="9"/>
        <v>1.698267406702314E-7</v>
      </c>
      <c r="F229" s="67">
        <f t="shared" si="10"/>
        <v>0.1698267406702314</v>
      </c>
    </row>
    <row r="230" spans="3:6" x14ac:dyDescent="0.2">
      <c r="C230" s="63">
        <v>5.15</v>
      </c>
      <c r="D230" s="64">
        <f t="shared" si="9"/>
        <v>1.3024322953469891E-7</v>
      </c>
      <c r="E230" s="65">
        <f t="shared" si="9"/>
        <v>1.3024322953469891E-7</v>
      </c>
      <c r="F230" s="67">
        <f t="shared" si="10"/>
        <v>0.13024322953469891</v>
      </c>
    </row>
    <row r="231" spans="3:6" x14ac:dyDescent="0.2">
      <c r="C231" s="63">
        <v>5.2</v>
      </c>
      <c r="D231" s="64">
        <f t="shared" si="9"/>
        <v>9.9644263173992442E-8</v>
      </c>
      <c r="E231" s="65">
        <f t="shared" si="9"/>
        <v>9.9644263173992442E-8</v>
      </c>
      <c r="F231" s="67">
        <f t="shared" si="10"/>
        <v>9.9644263173992442E-2</v>
      </c>
    </row>
    <row r="232" spans="3:6" x14ac:dyDescent="0.2">
      <c r="C232" s="63">
        <v>5.25</v>
      </c>
      <c r="D232" s="64">
        <f t="shared" si="9"/>
        <v>7.6049605168826417E-8</v>
      </c>
      <c r="E232" s="65">
        <f t="shared" si="9"/>
        <v>7.6049605168826417E-8</v>
      </c>
      <c r="F232" s="67">
        <f t="shared" si="10"/>
        <v>7.6049605168826417E-2</v>
      </c>
    </row>
    <row r="233" spans="3:6" x14ac:dyDescent="0.2">
      <c r="C233" s="63">
        <v>5.3</v>
      </c>
      <c r="D233" s="64">
        <f t="shared" si="9"/>
        <v>5.7901340388966105E-8</v>
      </c>
      <c r="E233" s="65">
        <f t="shared" si="9"/>
        <v>5.7901340388966105E-8</v>
      </c>
      <c r="F233" s="67">
        <f t="shared" si="10"/>
        <v>5.7901340388966105E-2</v>
      </c>
    </row>
    <row r="234" spans="3:6" x14ac:dyDescent="0.2">
      <c r="C234" s="63">
        <v>5.35</v>
      </c>
      <c r="D234" s="64">
        <f t="shared" si="9"/>
        <v>4.3977115948834467E-8</v>
      </c>
      <c r="E234" s="65">
        <f t="shared" si="9"/>
        <v>4.3977115948834467E-8</v>
      </c>
      <c r="F234" s="67">
        <f t="shared" si="10"/>
        <v>4.3977115948834467E-2</v>
      </c>
    </row>
    <row r="235" spans="3:6" x14ac:dyDescent="0.2">
      <c r="C235" s="63">
        <v>5.4</v>
      </c>
      <c r="D235" s="64">
        <f t="shared" si="9"/>
        <v>3.3320448511453549E-8</v>
      </c>
      <c r="E235" s="65">
        <f t="shared" si="9"/>
        <v>3.3320448511453549E-8</v>
      </c>
      <c r="F235" s="67">
        <f t="shared" si="10"/>
        <v>3.3320448511453549E-2</v>
      </c>
    </row>
    <row r="236" spans="3:6" x14ac:dyDescent="0.2">
      <c r="C236" s="63">
        <v>5.45</v>
      </c>
      <c r="D236" s="64">
        <f t="shared" si="9"/>
        <v>2.5184910046327502E-8</v>
      </c>
      <c r="E236" s="65">
        <f t="shared" si="9"/>
        <v>2.5184910046327502E-8</v>
      </c>
      <c r="F236" s="67">
        <f t="shared" si="10"/>
        <v>2.5184910046327502E-2</v>
      </c>
    </row>
    <row r="237" spans="3:6" x14ac:dyDescent="0.2">
      <c r="C237" s="63">
        <v>5.5</v>
      </c>
      <c r="D237" s="64">
        <f t="shared" si="9"/>
        <v>1.8989562478033406E-8</v>
      </c>
      <c r="E237" s="65">
        <f t="shared" si="9"/>
        <v>1.8989562478033406E-8</v>
      </c>
      <c r="F237" s="67">
        <f t="shared" si="10"/>
        <v>1.8989562478033406E-2</v>
      </c>
    </row>
    <row r="238" spans="3:6" x14ac:dyDescent="0.2">
      <c r="C238" s="63">
        <v>5.55</v>
      </c>
      <c r="D238" s="64">
        <f t="shared" si="9"/>
        <v>1.4283479843335556E-8</v>
      </c>
      <c r="E238" s="65">
        <f t="shared" si="9"/>
        <v>1.4283479843335556E-8</v>
      </c>
      <c r="F238" s="67">
        <f t="shared" si="10"/>
        <v>1.4283479843335556E-2</v>
      </c>
    </row>
    <row r="239" spans="3:6" x14ac:dyDescent="0.2">
      <c r="C239" s="63">
        <v>5.6</v>
      </c>
      <c r="D239" s="64">
        <f t="shared" si="9"/>
        <v>1.0717590259723409E-8</v>
      </c>
      <c r="E239" s="65">
        <f t="shared" si="9"/>
        <v>1.0717590259723409E-8</v>
      </c>
      <c r="F239" s="67">
        <f t="shared" si="10"/>
        <v>1.0717590259723409E-2</v>
      </c>
    </row>
    <row r="240" spans="3:6" x14ac:dyDescent="0.2">
      <c r="C240" s="63">
        <v>5.65</v>
      </c>
      <c r="D240" s="64">
        <f t="shared" si="9"/>
        <v>8.0223918619282131E-9</v>
      </c>
      <c r="E240" s="65">
        <f t="shared" si="9"/>
        <v>8.0223918619282131E-9</v>
      </c>
      <c r="F240" s="67">
        <f t="shared" si="10"/>
        <v>8.0223918619282131E-3</v>
      </c>
    </row>
    <row r="241" spans="3:6" x14ac:dyDescent="0.2">
      <c r="C241" s="63">
        <v>5.7</v>
      </c>
      <c r="D241" s="64">
        <f t="shared" si="9"/>
        <v>5.9903714211273495E-9</v>
      </c>
      <c r="E241" s="65">
        <f t="shared" si="9"/>
        <v>5.9903714211273495E-9</v>
      </c>
      <c r="F241" s="67">
        <f t="shared" si="10"/>
        <v>5.9903714211273495E-3</v>
      </c>
    </row>
    <row r="242" spans="3:6" x14ac:dyDescent="0.2">
      <c r="C242" s="63">
        <v>5.75</v>
      </c>
      <c r="D242" s="64">
        <f t="shared" si="9"/>
        <v>4.4621724093474313E-9</v>
      </c>
      <c r="E242" s="65">
        <f t="shared" si="9"/>
        <v>4.4621724093474313E-9</v>
      </c>
      <c r="F242" s="67">
        <f t="shared" si="10"/>
        <v>4.4621724093474313E-3</v>
      </c>
    </row>
    <row r="243" spans="3:6" x14ac:dyDescent="0.2">
      <c r="C243" s="63">
        <v>5.8</v>
      </c>
      <c r="D243" s="64">
        <f t="shared" si="9"/>
        <v>3.3157460110899706E-9</v>
      </c>
      <c r="E243" s="65">
        <f t="shared" si="9"/>
        <v>3.3157460110899706E-9</v>
      </c>
      <c r="F243" s="67">
        <f t="shared" si="10"/>
        <v>3.3157460110899706E-3</v>
      </c>
    </row>
    <row r="244" spans="3:6" x14ac:dyDescent="0.2">
      <c r="C244" s="63">
        <v>5.85</v>
      </c>
      <c r="D244" s="64">
        <f t="shared" si="9"/>
        <v>2.4578650226203536E-9</v>
      </c>
      <c r="E244" s="65">
        <f t="shared" si="9"/>
        <v>2.4578650226203536E-9</v>
      </c>
      <c r="F244" s="67">
        <f t="shared" si="10"/>
        <v>2.4578650226203536E-3</v>
      </c>
    </row>
    <row r="245" spans="3:6" x14ac:dyDescent="0.2">
      <c r="C245" s="63">
        <v>5.9</v>
      </c>
      <c r="D245" s="64">
        <f t="shared" si="9"/>
        <v>1.8175078109194942E-9</v>
      </c>
      <c r="E245" s="65">
        <f t="shared" si="9"/>
        <v>1.8175078109194942E-9</v>
      </c>
      <c r="F245" s="67">
        <f t="shared" si="10"/>
        <v>1.8175078109194942E-3</v>
      </c>
    </row>
    <row r="246" spans="3:6" x14ac:dyDescent="0.2">
      <c r="C246" s="63">
        <v>5.95</v>
      </c>
      <c r="D246" s="64">
        <f t="shared" si="9"/>
        <v>1.3407124299646966E-9</v>
      </c>
      <c r="E246" s="65">
        <f t="shared" si="9"/>
        <v>1.3407124299646966E-9</v>
      </c>
      <c r="F246" s="67">
        <f t="shared" si="10"/>
        <v>1.3407124299646966E-3</v>
      </c>
    </row>
    <row r="247" spans="3:6" ht="13.5" thickBot="1" x14ac:dyDescent="0.25">
      <c r="C247" s="68">
        <v>6</v>
      </c>
      <c r="D247" s="69">
        <f t="shared" si="9"/>
        <v>9.8658770042447941E-10</v>
      </c>
      <c r="E247" s="70">
        <f t="shared" si="9"/>
        <v>9.8658770042447941E-10</v>
      </c>
      <c r="F247" s="71">
        <f t="shared" si="10"/>
        <v>9.8658770042447941E-4</v>
      </c>
    </row>
    <row r="248" spans="3:6" s="10" customFormat="1" x14ac:dyDescent="0.2">
      <c r="C248" s="12"/>
      <c r="D248" s="13"/>
      <c r="E248" s="11"/>
      <c r="F248" s="11"/>
    </row>
    <row r="249" spans="3:6" s="10" customFormat="1" x14ac:dyDescent="0.2">
      <c r="C249" s="12"/>
      <c r="D249" s="13"/>
      <c r="E249" s="11"/>
      <c r="F249" s="11"/>
    </row>
    <row r="250" spans="3:6" s="10" customFormat="1" x14ac:dyDescent="0.2">
      <c r="C250" s="12"/>
      <c r="D250" s="13"/>
      <c r="E250" s="11"/>
      <c r="F250" s="11"/>
    </row>
    <row r="251" spans="3:6" s="10" customFormat="1" x14ac:dyDescent="0.2">
      <c r="C251" s="12"/>
      <c r="D251" s="13"/>
      <c r="E251" s="11"/>
      <c r="F251" s="11"/>
    </row>
    <row r="252" spans="3:6" s="10" customFormat="1" x14ac:dyDescent="0.2">
      <c r="C252" s="12"/>
      <c r="D252" s="13"/>
      <c r="E252" s="11"/>
      <c r="F252" s="11"/>
    </row>
    <row r="253" spans="3:6" s="10" customFormat="1" x14ac:dyDescent="0.2">
      <c r="C253" s="12"/>
      <c r="D253" s="13"/>
      <c r="E253" s="11"/>
      <c r="F253" s="11"/>
    </row>
    <row r="254" spans="3:6" s="10" customFormat="1" x14ac:dyDescent="0.2">
      <c r="C254" s="12"/>
      <c r="D254" s="13"/>
      <c r="E254" s="11"/>
      <c r="F254" s="11"/>
    </row>
    <row r="255" spans="3:6" s="10" customFormat="1" x14ac:dyDescent="0.2">
      <c r="C255" s="12"/>
      <c r="D255" s="13"/>
      <c r="E255" s="11"/>
      <c r="F255" s="11"/>
    </row>
    <row r="256" spans="3:6" s="10" customFormat="1" x14ac:dyDescent="0.2">
      <c r="C256" s="12"/>
      <c r="D256" s="13"/>
      <c r="E256" s="11"/>
      <c r="F256" s="11"/>
    </row>
    <row r="257" spans="3:6" s="10" customFormat="1" x14ac:dyDescent="0.2">
      <c r="C257" s="12"/>
      <c r="D257" s="13"/>
      <c r="E257" s="11"/>
      <c r="F257" s="11"/>
    </row>
    <row r="258" spans="3:6" s="10" customFormat="1" x14ac:dyDescent="0.2">
      <c r="C258" s="12"/>
      <c r="D258" s="13"/>
      <c r="E258" s="11"/>
      <c r="F258" s="11"/>
    </row>
    <row r="259" spans="3:6" s="10" customFormat="1" x14ac:dyDescent="0.2">
      <c r="C259" s="12"/>
      <c r="D259" s="13"/>
      <c r="E259" s="11"/>
      <c r="F259" s="11"/>
    </row>
    <row r="260" spans="3:6" s="10" customFormat="1" x14ac:dyDescent="0.2">
      <c r="C260" s="12"/>
      <c r="D260" s="13"/>
      <c r="E260" s="11"/>
      <c r="F260" s="11"/>
    </row>
    <row r="261" spans="3:6" s="10" customFormat="1" x14ac:dyDescent="0.2">
      <c r="C261" s="12"/>
      <c r="D261" s="13"/>
      <c r="E261" s="11"/>
      <c r="F261" s="11"/>
    </row>
    <row r="262" spans="3:6" s="10" customFormat="1" x14ac:dyDescent="0.2">
      <c r="C262" s="12"/>
      <c r="D262" s="13"/>
      <c r="E262" s="11"/>
      <c r="F262" s="11"/>
    </row>
    <row r="263" spans="3:6" s="10" customFormat="1" x14ac:dyDescent="0.2">
      <c r="C263" s="12"/>
      <c r="D263" s="13"/>
      <c r="E263" s="11"/>
      <c r="F263" s="11"/>
    </row>
    <row r="264" spans="3:6" s="10" customFormat="1" x14ac:dyDescent="0.2">
      <c r="C264" s="12"/>
      <c r="D264" s="13"/>
      <c r="E264" s="11"/>
      <c r="F264" s="11"/>
    </row>
    <row r="265" spans="3:6" s="10" customFormat="1" x14ac:dyDescent="0.2">
      <c r="C265" s="12"/>
      <c r="D265" s="13"/>
      <c r="E265" s="11"/>
      <c r="F265" s="11"/>
    </row>
    <row r="266" spans="3:6" s="10" customFormat="1" x14ac:dyDescent="0.2">
      <c r="C266" s="12"/>
      <c r="D266" s="13"/>
      <c r="E266" s="11"/>
      <c r="F266" s="11"/>
    </row>
    <row r="267" spans="3:6" s="10" customFormat="1" x14ac:dyDescent="0.2">
      <c r="C267" s="12"/>
      <c r="D267" s="13"/>
      <c r="E267" s="11"/>
      <c r="F267" s="11"/>
    </row>
    <row r="268" spans="3:6" s="10" customFormat="1" x14ac:dyDescent="0.2">
      <c r="C268" s="12"/>
      <c r="D268" s="13"/>
      <c r="E268" s="11"/>
      <c r="F268" s="11"/>
    </row>
    <row r="269" spans="3:6" s="10" customFormat="1" x14ac:dyDescent="0.2">
      <c r="C269" s="12"/>
      <c r="D269" s="13"/>
      <c r="E269" s="11"/>
      <c r="F269" s="11"/>
    </row>
    <row r="270" spans="3:6" s="10" customFormat="1" x14ac:dyDescent="0.2">
      <c r="C270" s="12"/>
      <c r="D270" s="13"/>
      <c r="E270" s="11"/>
      <c r="F270" s="11"/>
    </row>
    <row r="271" spans="3:6" s="10" customFormat="1" x14ac:dyDescent="0.2">
      <c r="C271" s="12"/>
      <c r="D271" s="13"/>
      <c r="E271" s="11"/>
      <c r="F271" s="11"/>
    </row>
    <row r="272" spans="3:6" s="10" customFormat="1" x14ac:dyDescent="0.2">
      <c r="C272" s="12"/>
      <c r="D272" s="13"/>
      <c r="E272" s="11"/>
      <c r="F272" s="11"/>
    </row>
    <row r="273" spans="3:6" s="10" customFormat="1" x14ac:dyDescent="0.2">
      <c r="C273" s="12"/>
      <c r="D273" s="13"/>
      <c r="E273" s="11"/>
      <c r="F273" s="11"/>
    </row>
    <row r="274" spans="3:6" s="10" customFormat="1" x14ac:dyDescent="0.2">
      <c r="C274" s="12"/>
      <c r="D274" s="13"/>
      <c r="E274" s="11"/>
      <c r="F274" s="11"/>
    </row>
    <row r="275" spans="3:6" s="10" customFormat="1" x14ac:dyDescent="0.2">
      <c r="C275" s="12"/>
      <c r="D275" s="13"/>
      <c r="E275" s="11"/>
      <c r="F275" s="11"/>
    </row>
    <row r="276" spans="3:6" s="10" customFormat="1" x14ac:dyDescent="0.2">
      <c r="C276" s="12"/>
      <c r="D276" s="13"/>
      <c r="E276" s="11"/>
      <c r="F276" s="11"/>
    </row>
    <row r="277" spans="3:6" s="10" customFormat="1" x14ac:dyDescent="0.2">
      <c r="C277" s="12"/>
      <c r="D277" s="13"/>
      <c r="E277" s="11"/>
      <c r="F277" s="11"/>
    </row>
    <row r="278" spans="3:6" s="10" customFormat="1" x14ac:dyDescent="0.2">
      <c r="C278" s="12"/>
      <c r="D278" s="13"/>
      <c r="E278" s="11"/>
      <c r="F278" s="11"/>
    </row>
    <row r="279" spans="3:6" s="10" customFormat="1" x14ac:dyDescent="0.2">
      <c r="C279" s="12"/>
      <c r="D279" s="13"/>
      <c r="E279" s="11"/>
      <c r="F279" s="11"/>
    </row>
    <row r="280" spans="3:6" s="10" customFormat="1" x14ac:dyDescent="0.2">
      <c r="C280" s="12"/>
      <c r="D280" s="13"/>
      <c r="E280" s="11"/>
      <c r="F280" s="11"/>
    </row>
    <row r="281" spans="3:6" s="10" customFormat="1" x14ac:dyDescent="0.2">
      <c r="C281" s="12"/>
      <c r="D281" s="13"/>
      <c r="E281" s="11"/>
      <c r="F281" s="11"/>
    </row>
    <row r="282" spans="3:6" s="10" customFormat="1" x14ac:dyDescent="0.2">
      <c r="C282" s="12"/>
      <c r="D282" s="13"/>
      <c r="E282" s="11"/>
      <c r="F282" s="11"/>
    </row>
    <row r="283" spans="3:6" s="10" customFormat="1" x14ac:dyDescent="0.2">
      <c r="C283" s="12"/>
      <c r="D283" s="13"/>
      <c r="E283" s="11"/>
      <c r="F283" s="11"/>
    </row>
    <row r="284" spans="3:6" s="10" customFormat="1" x14ac:dyDescent="0.2">
      <c r="C284" s="12"/>
      <c r="D284" s="13"/>
      <c r="E284" s="11"/>
      <c r="F284" s="11"/>
    </row>
    <row r="285" spans="3:6" s="10" customFormat="1" x14ac:dyDescent="0.2">
      <c r="C285" s="12"/>
      <c r="D285" s="13"/>
      <c r="E285" s="11"/>
      <c r="F285" s="11"/>
    </row>
    <row r="286" spans="3:6" s="10" customFormat="1" x14ac:dyDescent="0.2">
      <c r="C286" s="12"/>
      <c r="D286" s="13"/>
      <c r="E286" s="11"/>
      <c r="F286" s="11"/>
    </row>
    <row r="287" spans="3:6" s="10" customFormat="1" x14ac:dyDescent="0.2">
      <c r="C287" s="12"/>
      <c r="D287" s="13"/>
      <c r="E287" s="11"/>
      <c r="F287" s="11"/>
    </row>
    <row r="288" spans="3:6" s="10" customFormat="1" x14ac:dyDescent="0.2">
      <c r="C288" s="12"/>
      <c r="D288" s="13"/>
      <c r="E288" s="11"/>
      <c r="F288" s="11"/>
    </row>
    <row r="289" spans="3:6" s="10" customFormat="1" x14ac:dyDescent="0.2">
      <c r="C289" s="12"/>
      <c r="D289" s="13"/>
      <c r="E289" s="11"/>
      <c r="F289" s="11"/>
    </row>
    <row r="290" spans="3:6" s="10" customFormat="1" x14ac:dyDescent="0.2">
      <c r="C290" s="12"/>
      <c r="D290" s="13"/>
      <c r="E290" s="11"/>
      <c r="F290" s="11"/>
    </row>
    <row r="291" spans="3:6" s="10" customFormat="1" x14ac:dyDescent="0.2">
      <c r="C291" s="12"/>
      <c r="D291" s="13"/>
      <c r="E291" s="11"/>
      <c r="F291" s="11"/>
    </row>
    <row r="292" spans="3:6" s="10" customFormat="1" x14ac:dyDescent="0.2">
      <c r="C292" s="12"/>
      <c r="D292" s="13"/>
      <c r="E292" s="11"/>
      <c r="F292" s="11"/>
    </row>
    <row r="293" spans="3:6" s="10" customFormat="1" x14ac:dyDescent="0.2">
      <c r="C293" s="12"/>
      <c r="D293" s="13"/>
      <c r="E293" s="11"/>
      <c r="F293" s="11"/>
    </row>
    <row r="294" spans="3:6" s="10" customFormat="1" x14ac:dyDescent="0.2">
      <c r="C294" s="12"/>
      <c r="D294" s="13"/>
      <c r="E294" s="11"/>
      <c r="F294" s="11"/>
    </row>
    <row r="295" spans="3:6" s="10" customFormat="1" x14ac:dyDescent="0.2">
      <c r="C295" s="12"/>
      <c r="D295" s="13"/>
      <c r="E295" s="11"/>
      <c r="F295" s="11"/>
    </row>
    <row r="296" spans="3:6" s="10" customFormat="1" x14ac:dyDescent="0.2">
      <c r="C296" s="12"/>
      <c r="D296" s="13"/>
      <c r="E296" s="11"/>
      <c r="F296" s="11"/>
    </row>
    <row r="297" spans="3:6" s="10" customFormat="1" x14ac:dyDescent="0.2">
      <c r="C297" s="12"/>
      <c r="D297" s="13"/>
      <c r="E297" s="11"/>
      <c r="F297" s="11"/>
    </row>
    <row r="298" spans="3:6" s="10" customFormat="1" x14ac:dyDescent="0.2">
      <c r="C298" s="12"/>
      <c r="D298" s="13"/>
      <c r="E298" s="11"/>
      <c r="F298" s="11"/>
    </row>
    <row r="299" spans="3:6" s="10" customFormat="1" x14ac:dyDescent="0.2">
      <c r="C299" s="12"/>
      <c r="D299" s="13"/>
      <c r="E299" s="11"/>
      <c r="F299" s="11"/>
    </row>
    <row r="300" spans="3:6" s="10" customFormat="1" x14ac:dyDescent="0.2">
      <c r="C300" s="12"/>
      <c r="D300" s="13"/>
      <c r="E300" s="11"/>
      <c r="F300" s="11"/>
    </row>
    <row r="301" spans="3:6" s="10" customFormat="1" x14ac:dyDescent="0.2">
      <c r="C301" s="12"/>
      <c r="D301" s="13"/>
      <c r="E301" s="11"/>
      <c r="F301" s="11"/>
    </row>
    <row r="302" spans="3:6" s="10" customFormat="1" x14ac:dyDescent="0.2">
      <c r="C302" s="12"/>
      <c r="D302" s="13"/>
      <c r="E302" s="11"/>
      <c r="F302" s="11"/>
    </row>
    <row r="303" spans="3:6" s="10" customFormat="1" x14ac:dyDescent="0.2">
      <c r="C303" s="12"/>
      <c r="D303" s="13"/>
      <c r="E303" s="11"/>
      <c r="F303" s="11"/>
    </row>
    <row r="304" spans="3:6" s="10" customFormat="1" x14ac:dyDescent="0.2">
      <c r="C304" s="12"/>
      <c r="D304" s="13"/>
      <c r="E304" s="11"/>
      <c r="F304" s="11"/>
    </row>
    <row r="305" spans="3:6" s="10" customFormat="1" x14ac:dyDescent="0.2">
      <c r="C305" s="12"/>
      <c r="D305" s="13"/>
      <c r="E305" s="11"/>
      <c r="F305" s="11"/>
    </row>
    <row r="306" spans="3:6" s="10" customFormat="1" x14ac:dyDescent="0.2">
      <c r="C306" s="12"/>
      <c r="D306" s="13"/>
      <c r="E306" s="11"/>
      <c r="F306" s="11"/>
    </row>
    <row r="307" spans="3:6" s="10" customFormat="1" x14ac:dyDescent="0.2">
      <c r="C307" s="12"/>
      <c r="D307" s="13"/>
      <c r="E307" s="11"/>
      <c r="F307" s="11"/>
    </row>
    <row r="308" spans="3:6" s="10" customFormat="1" x14ac:dyDescent="0.2">
      <c r="C308" s="12"/>
      <c r="D308" s="13"/>
      <c r="E308" s="11"/>
      <c r="F308" s="11"/>
    </row>
    <row r="309" spans="3:6" s="10" customFormat="1" x14ac:dyDescent="0.2">
      <c r="C309" s="12"/>
      <c r="D309" s="13"/>
      <c r="E309" s="11"/>
      <c r="F309" s="11"/>
    </row>
    <row r="310" spans="3:6" s="10" customFormat="1" x14ac:dyDescent="0.2">
      <c r="C310" s="12"/>
      <c r="D310" s="13"/>
      <c r="E310" s="11"/>
      <c r="F310" s="11"/>
    </row>
    <row r="311" spans="3:6" s="10" customFormat="1" x14ac:dyDescent="0.2">
      <c r="C311" s="12"/>
      <c r="D311" s="13"/>
      <c r="E311" s="11"/>
      <c r="F311" s="11"/>
    </row>
    <row r="312" spans="3:6" s="10" customFormat="1" x14ac:dyDescent="0.2">
      <c r="C312" s="12"/>
      <c r="D312" s="13"/>
      <c r="E312" s="11"/>
      <c r="F312" s="11"/>
    </row>
    <row r="313" spans="3:6" s="10" customFormat="1" x14ac:dyDescent="0.2">
      <c r="C313" s="12"/>
      <c r="D313" s="13"/>
      <c r="E313" s="11"/>
      <c r="F313" s="11"/>
    </row>
    <row r="314" spans="3:6" s="10" customFormat="1" x14ac:dyDescent="0.2">
      <c r="C314" s="12"/>
      <c r="D314" s="13"/>
      <c r="E314" s="11"/>
      <c r="F314" s="11"/>
    </row>
    <row r="315" spans="3:6" s="10" customFormat="1" x14ac:dyDescent="0.2">
      <c r="C315" s="12"/>
      <c r="D315" s="13"/>
      <c r="E315" s="11"/>
      <c r="F315" s="11"/>
    </row>
    <row r="316" spans="3:6" s="10" customFormat="1" x14ac:dyDescent="0.2">
      <c r="C316" s="12"/>
      <c r="D316" s="13"/>
      <c r="E316" s="11"/>
      <c r="F316" s="11"/>
    </row>
    <row r="317" spans="3:6" s="10" customFormat="1" x14ac:dyDescent="0.2">
      <c r="C317" s="12"/>
      <c r="D317" s="13"/>
      <c r="E317" s="11"/>
      <c r="F317" s="11"/>
    </row>
    <row r="318" spans="3:6" s="10" customFormat="1" x14ac:dyDescent="0.2">
      <c r="C318" s="12"/>
      <c r="D318" s="13"/>
      <c r="E318" s="11"/>
      <c r="F318" s="11"/>
    </row>
    <row r="319" spans="3:6" s="10" customFormat="1" x14ac:dyDescent="0.2">
      <c r="C319" s="12"/>
      <c r="D319" s="13"/>
      <c r="E319" s="11"/>
      <c r="F319" s="11"/>
    </row>
    <row r="320" spans="3:6" s="10" customFormat="1" x14ac:dyDescent="0.2">
      <c r="C320" s="12"/>
      <c r="D320" s="13"/>
      <c r="E320" s="11"/>
      <c r="F320" s="11"/>
    </row>
    <row r="321" spans="3:6" s="10" customFormat="1" x14ac:dyDescent="0.2">
      <c r="C321" s="12"/>
      <c r="D321" s="13"/>
      <c r="E321" s="11"/>
      <c r="F321" s="11"/>
    </row>
    <row r="322" spans="3:6" s="10" customFormat="1" x14ac:dyDescent="0.2">
      <c r="C322" s="12"/>
      <c r="D322" s="13"/>
      <c r="E322" s="11"/>
      <c r="F322" s="11"/>
    </row>
    <row r="323" spans="3:6" s="10" customFormat="1" x14ac:dyDescent="0.2">
      <c r="C323" s="12"/>
      <c r="D323" s="13"/>
      <c r="E323" s="11"/>
      <c r="F323" s="11"/>
    </row>
    <row r="324" spans="3:6" s="10" customFormat="1" x14ac:dyDescent="0.2">
      <c r="C324" s="12"/>
      <c r="D324" s="13"/>
      <c r="E324" s="11"/>
      <c r="F324" s="11"/>
    </row>
    <row r="325" spans="3:6" s="10" customFormat="1" x14ac:dyDescent="0.2">
      <c r="C325" s="12"/>
      <c r="D325" s="13"/>
      <c r="E325" s="11"/>
      <c r="F325" s="11"/>
    </row>
    <row r="326" spans="3:6" s="10" customFormat="1" x14ac:dyDescent="0.2">
      <c r="C326" s="12"/>
      <c r="D326" s="13"/>
      <c r="E326" s="11"/>
      <c r="F326" s="11"/>
    </row>
    <row r="327" spans="3:6" s="10" customFormat="1" x14ac:dyDescent="0.2">
      <c r="C327" s="12"/>
      <c r="D327" s="13"/>
      <c r="E327" s="11"/>
      <c r="F327" s="11"/>
    </row>
    <row r="328" spans="3:6" s="10" customFormat="1" x14ac:dyDescent="0.2">
      <c r="C328" s="12"/>
      <c r="D328" s="13"/>
      <c r="E328" s="11"/>
      <c r="F328" s="11"/>
    </row>
    <row r="329" spans="3:6" s="10" customFormat="1" x14ac:dyDescent="0.2">
      <c r="C329" s="12"/>
      <c r="D329" s="13"/>
      <c r="E329" s="11"/>
      <c r="F329" s="11"/>
    </row>
    <row r="330" spans="3:6" s="10" customFormat="1" x14ac:dyDescent="0.2">
      <c r="C330" s="12"/>
      <c r="D330" s="13"/>
      <c r="E330" s="11"/>
      <c r="F330" s="11"/>
    </row>
    <row r="331" spans="3:6" s="10" customFormat="1" x14ac:dyDescent="0.2">
      <c r="C331" s="12"/>
      <c r="D331" s="13"/>
      <c r="E331" s="11"/>
      <c r="F331" s="11"/>
    </row>
    <row r="332" spans="3:6" s="10" customFormat="1" x14ac:dyDescent="0.2">
      <c r="C332" s="12"/>
      <c r="D332" s="13"/>
      <c r="E332" s="11"/>
      <c r="F332" s="11"/>
    </row>
    <row r="333" spans="3:6" s="10" customFormat="1" x14ac:dyDescent="0.2">
      <c r="C333" s="12"/>
      <c r="D333" s="13"/>
      <c r="E333" s="11"/>
      <c r="F333" s="11"/>
    </row>
    <row r="334" spans="3:6" s="10" customFormat="1" x14ac:dyDescent="0.2">
      <c r="C334" s="12"/>
      <c r="D334" s="13"/>
      <c r="E334" s="11"/>
      <c r="F334" s="11"/>
    </row>
    <row r="335" spans="3:6" s="10" customFormat="1" x14ac:dyDescent="0.2">
      <c r="C335" s="12"/>
      <c r="D335" s="13"/>
      <c r="E335" s="11"/>
      <c r="F335" s="11"/>
    </row>
    <row r="336" spans="3:6" s="10" customFormat="1" x14ac:dyDescent="0.2">
      <c r="C336" s="12"/>
      <c r="D336" s="13"/>
      <c r="E336" s="11"/>
      <c r="F336" s="11"/>
    </row>
    <row r="337" spans="3:6" s="10" customFormat="1" x14ac:dyDescent="0.2">
      <c r="C337" s="12"/>
      <c r="D337" s="13"/>
      <c r="E337" s="11"/>
      <c r="F337" s="11"/>
    </row>
    <row r="338" spans="3:6" s="10" customFormat="1" x14ac:dyDescent="0.2">
      <c r="C338" s="12"/>
      <c r="D338" s="13"/>
      <c r="E338" s="11"/>
      <c r="F338" s="11"/>
    </row>
    <row r="339" spans="3:6" s="10" customFormat="1" x14ac:dyDescent="0.2">
      <c r="C339" s="12"/>
      <c r="D339" s="13"/>
      <c r="E339" s="11"/>
      <c r="F339" s="11"/>
    </row>
    <row r="340" spans="3:6" s="10" customFormat="1" x14ac:dyDescent="0.2">
      <c r="C340" s="12"/>
      <c r="D340" s="13"/>
      <c r="E340" s="11"/>
      <c r="F340" s="11"/>
    </row>
    <row r="341" spans="3:6" s="10" customFormat="1" x14ac:dyDescent="0.2">
      <c r="C341" s="12"/>
      <c r="D341" s="13"/>
      <c r="E341" s="11"/>
      <c r="F341" s="11"/>
    </row>
    <row r="342" spans="3:6" s="10" customFormat="1" x14ac:dyDescent="0.2">
      <c r="C342" s="12"/>
      <c r="D342" s="13"/>
      <c r="E342" s="11"/>
      <c r="F342" s="11"/>
    </row>
    <row r="343" spans="3:6" s="10" customFormat="1" x14ac:dyDescent="0.2">
      <c r="C343" s="12"/>
      <c r="D343" s="13"/>
      <c r="E343" s="11"/>
      <c r="F343" s="11"/>
    </row>
    <row r="344" spans="3:6" s="10" customFormat="1" x14ac:dyDescent="0.2">
      <c r="C344" s="12"/>
      <c r="D344" s="13"/>
      <c r="E344" s="11"/>
      <c r="F344" s="11"/>
    </row>
    <row r="345" spans="3:6" s="10" customFormat="1" x14ac:dyDescent="0.2">
      <c r="C345" s="12"/>
      <c r="D345" s="13"/>
      <c r="E345" s="11"/>
      <c r="F345" s="11"/>
    </row>
    <row r="346" spans="3:6" s="10" customFormat="1" x14ac:dyDescent="0.2">
      <c r="C346" s="12"/>
      <c r="D346" s="13"/>
      <c r="E346" s="11"/>
      <c r="F346" s="11"/>
    </row>
    <row r="347" spans="3:6" s="10" customFormat="1" x14ac:dyDescent="0.2">
      <c r="C347" s="12"/>
      <c r="D347" s="13"/>
      <c r="E347" s="11"/>
      <c r="F347" s="11"/>
    </row>
    <row r="348" spans="3:6" s="10" customFormat="1" x14ac:dyDescent="0.2">
      <c r="C348" s="12"/>
      <c r="D348" s="13"/>
      <c r="E348" s="11"/>
      <c r="F348" s="11"/>
    </row>
    <row r="349" spans="3:6" s="10" customFormat="1" x14ac:dyDescent="0.2">
      <c r="C349" s="12"/>
      <c r="D349" s="13"/>
      <c r="E349" s="11"/>
      <c r="F349" s="11"/>
    </row>
    <row r="350" spans="3:6" s="10" customFormat="1" x14ac:dyDescent="0.2">
      <c r="C350" s="12"/>
      <c r="D350" s="13"/>
      <c r="E350" s="11"/>
      <c r="F350" s="11"/>
    </row>
    <row r="351" spans="3:6" s="10" customFormat="1" x14ac:dyDescent="0.2">
      <c r="C351" s="12"/>
      <c r="D351" s="13"/>
      <c r="E351" s="11"/>
      <c r="F351" s="11"/>
    </row>
    <row r="352" spans="3:6" s="10" customFormat="1" x14ac:dyDescent="0.2">
      <c r="C352" s="12"/>
      <c r="D352" s="13"/>
      <c r="E352" s="11"/>
      <c r="F352" s="11"/>
    </row>
    <row r="353" spans="3:6" s="10" customFormat="1" x14ac:dyDescent="0.2">
      <c r="C353" s="12"/>
      <c r="D353" s="13"/>
      <c r="E353" s="11"/>
      <c r="F353" s="11"/>
    </row>
    <row r="354" spans="3:6" s="10" customFormat="1" x14ac:dyDescent="0.2">
      <c r="C354" s="12"/>
      <c r="D354" s="13"/>
      <c r="E354" s="11"/>
      <c r="F354" s="11"/>
    </row>
    <row r="355" spans="3:6" s="10" customFormat="1" x14ac:dyDescent="0.2">
      <c r="C355" s="12"/>
      <c r="D355" s="13"/>
      <c r="E355" s="11"/>
      <c r="F355" s="11"/>
    </row>
    <row r="356" spans="3:6" s="10" customFormat="1" x14ac:dyDescent="0.2">
      <c r="C356" s="12"/>
      <c r="D356" s="13"/>
      <c r="E356" s="11"/>
      <c r="F356" s="11"/>
    </row>
    <row r="357" spans="3:6" s="10" customFormat="1" x14ac:dyDescent="0.2">
      <c r="C357" s="12"/>
      <c r="D357" s="13"/>
      <c r="E357" s="11"/>
      <c r="F357" s="11"/>
    </row>
    <row r="358" spans="3:6" s="10" customFormat="1" x14ac:dyDescent="0.2">
      <c r="C358" s="12"/>
      <c r="D358" s="13"/>
      <c r="E358" s="11"/>
      <c r="F358" s="11"/>
    </row>
    <row r="359" spans="3:6" s="10" customFormat="1" x14ac:dyDescent="0.2">
      <c r="C359" s="12"/>
      <c r="D359" s="13"/>
      <c r="E359" s="11"/>
      <c r="F359" s="11"/>
    </row>
    <row r="360" spans="3:6" s="10" customFormat="1" x14ac:dyDescent="0.2">
      <c r="C360" s="12"/>
      <c r="D360" s="13"/>
      <c r="E360" s="11"/>
      <c r="F360" s="11"/>
    </row>
    <row r="361" spans="3:6" s="10" customFormat="1" x14ac:dyDescent="0.2">
      <c r="C361" s="12"/>
      <c r="D361" s="13"/>
      <c r="E361" s="11"/>
      <c r="F361" s="11"/>
    </row>
    <row r="362" spans="3:6" s="10" customFormat="1" x14ac:dyDescent="0.2">
      <c r="C362" s="12"/>
      <c r="D362" s="13"/>
      <c r="E362" s="11"/>
      <c r="F362" s="11"/>
    </row>
    <row r="363" spans="3:6" s="10" customFormat="1" x14ac:dyDescent="0.2">
      <c r="C363" s="12"/>
      <c r="D363" s="13"/>
      <c r="E363" s="11"/>
      <c r="F363" s="11"/>
    </row>
    <row r="364" spans="3:6" s="10" customFormat="1" x14ac:dyDescent="0.2">
      <c r="C364" s="12"/>
      <c r="D364" s="13"/>
      <c r="E364" s="11"/>
      <c r="F364" s="11"/>
    </row>
    <row r="365" spans="3:6" s="10" customFormat="1" x14ac:dyDescent="0.2">
      <c r="C365" s="12"/>
      <c r="D365" s="13"/>
      <c r="E365" s="11"/>
      <c r="F365" s="11"/>
    </row>
    <row r="366" spans="3:6" s="10" customFormat="1" x14ac:dyDescent="0.2">
      <c r="C366" s="12"/>
      <c r="D366" s="13"/>
      <c r="E366" s="11"/>
      <c r="F366" s="11"/>
    </row>
    <row r="367" spans="3:6" s="10" customFormat="1" x14ac:dyDescent="0.2">
      <c r="C367" s="12"/>
      <c r="D367" s="13"/>
      <c r="E367" s="11"/>
      <c r="F367" s="11"/>
    </row>
    <row r="368" spans="3:6" s="10" customFormat="1" x14ac:dyDescent="0.2">
      <c r="C368" s="12"/>
      <c r="D368" s="13"/>
      <c r="E368" s="11"/>
      <c r="F368" s="11"/>
    </row>
    <row r="369" spans="3:6" s="10" customFormat="1" x14ac:dyDescent="0.2">
      <c r="C369" s="12"/>
      <c r="D369" s="13"/>
      <c r="E369" s="11"/>
      <c r="F369" s="11"/>
    </row>
    <row r="370" spans="3:6" s="10" customFormat="1" x14ac:dyDescent="0.2">
      <c r="C370" s="12"/>
      <c r="D370" s="13"/>
      <c r="E370" s="11"/>
      <c r="F370" s="11"/>
    </row>
    <row r="371" spans="3:6" s="10" customFormat="1" x14ac:dyDescent="0.2">
      <c r="C371" s="12"/>
      <c r="D371" s="13"/>
      <c r="E371" s="11"/>
      <c r="F371" s="11"/>
    </row>
    <row r="372" spans="3:6" s="10" customFormat="1" x14ac:dyDescent="0.2">
      <c r="C372" s="12"/>
      <c r="D372" s="13"/>
      <c r="E372" s="11"/>
      <c r="F372" s="11"/>
    </row>
    <row r="373" spans="3:6" s="10" customFormat="1" x14ac:dyDescent="0.2">
      <c r="C373" s="12"/>
      <c r="D373" s="13"/>
      <c r="E373" s="11"/>
      <c r="F373" s="11"/>
    </row>
    <row r="374" spans="3:6" s="10" customFormat="1" x14ac:dyDescent="0.2">
      <c r="C374" s="12"/>
      <c r="D374" s="13"/>
      <c r="E374" s="11"/>
      <c r="F374" s="11"/>
    </row>
    <row r="375" spans="3:6" s="10" customFormat="1" x14ac:dyDescent="0.2">
      <c r="C375" s="11"/>
      <c r="D375" s="13"/>
      <c r="E375" s="11"/>
      <c r="F375" s="11"/>
    </row>
    <row r="376" spans="3:6" s="10" customFormat="1" x14ac:dyDescent="0.2">
      <c r="C376" s="11"/>
      <c r="D376" s="13"/>
      <c r="E376" s="11"/>
      <c r="F376" s="11"/>
    </row>
    <row r="377" spans="3:6" s="10" customFormat="1" x14ac:dyDescent="0.2">
      <c r="C377" s="11"/>
      <c r="D377" s="13"/>
      <c r="E377" s="11"/>
      <c r="F377" s="11"/>
    </row>
    <row r="378" spans="3:6" s="10" customFormat="1" x14ac:dyDescent="0.2">
      <c r="C378" s="11"/>
      <c r="D378" s="13"/>
      <c r="E378" s="11"/>
      <c r="F378" s="11"/>
    </row>
    <row r="379" spans="3:6" s="10" customFormat="1" x14ac:dyDescent="0.2">
      <c r="C379" s="11"/>
      <c r="D379" s="13"/>
      <c r="E379" s="11"/>
      <c r="F379" s="11"/>
    </row>
    <row r="380" spans="3:6" s="10" customFormat="1" x14ac:dyDescent="0.2">
      <c r="C380" s="11"/>
      <c r="D380" s="13"/>
      <c r="E380" s="11"/>
      <c r="F380" s="11"/>
    </row>
    <row r="381" spans="3:6" s="10" customFormat="1" x14ac:dyDescent="0.2">
      <c r="C381" s="11"/>
      <c r="D381" s="13"/>
      <c r="E381" s="11"/>
      <c r="F381" s="11"/>
    </row>
    <row r="382" spans="3:6" s="10" customFormat="1" x14ac:dyDescent="0.2">
      <c r="C382" s="11"/>
      <c r="D382" s="13"/>
      <c r="E382" s="11"/>
      <c r="F382" s="11"/>
    </row>
    <row r="383" spans="3:6" s="10" customFormat="1" x14ac:dyDescent="0.2">
      <c r="C383" s="11"/>
      <c r="D383" s="13"/>
      <c r="E383" s="11"/>
      <c r="F383" s="11"/>
    </row>
    <row r="384" spans="3:6" s="10" customFormat="1" x14ac:dyDescent="0.2">
      <c r="C384" s="11"/>
      <c r="D384" s="13"/>
      <c r="E384" s="11"/>
      <c r="F384" s="11"/>
    </row>
    <row r="385" spans="3:6" s="10" customFormat="1" x14ac:dyDescent="0.2">
      <c r="C385" s="11"/>
      <c r="D385" s="13"/>
      <c r="E385" s="11"/>
      <c r="F385" s="11"/>
    </row>
    <row r="386" spans="3:6" s="10" customFormat="1" x14ac:dyDescent="0.2">
      <c r="C386" s="11"/>
      <c r="D386" s="13"/>
      <c r="E386" s="11"/>
      <c r="F386" s="11"/>
    </row>
    <row r="387" spans="3:6" s="10" customFormat="1" x14ac:dyDescent="0.2">
      <c r="C387" s="11"/>
      <c r="D387" s="13"/>
      <c r="E387" s="11"/>
      <c r="F387" s="11"/>
    </row>
    <row r="388" spans="3:6" s="10" customFormat="1" x14ac:dyDescent="0.2">
      <c r="C388" s="11"/>
      <c r="D388" s="13"/>
      <c r="E388" s="11"/>
      <c r="F388" s="11"/>
    </row>
    <row r="389" spans="3:6" s="10" customFormat="1" x14ac:dyDescent="0.2">
      <c r="C389" s="11"/>
      <c r="D389" s="13"/>
      <c r="E389" s="11"/>
      <c r="F389" s="11"/>
    </row>
    <row r="390" spans="3:6" s="10" customFormat="1" x14ac:dyDescent="0.2">
      <c r="C390" s="11"/>
      <c r="D390" s="13"/>
      <c r="E390" s="11"/>
      <c r="F390" s="11"/>
    </row>
    <row r="391" spans="3:6" s="10" customFormat="1" x14ac:dyDescent="0.2">
      <c r="C391" s="11"/>
      <c r="D391" s="13"/>
      <c r="E391" s="11"/>
      <c r="F391" s="11"/>
    </row>
    <row r="392" spans="3:6" s="10" customFormat="1" x14ac:dyDescent="0.2">
      <c r="C392" s="11"/>
      <c r="D392" s="13"/>
      <c r="E392" s="11"/>
      <c r="F392" s="11"/>
    </row>
    <row r="393" spans="3:6" s="10" customFormat="1" x14ac:dyDescent="0.2">
      <c r="C393" s="11"/>
      <c r="D393" s="13"/>
      <c r="E393" s="11"/>
      <c r="F393" s="11"/>
    </row>
    <row r="394" spans="3:6" s="10" customFormat="1" x14ac:dyDescent="0.2">
      <c r="C394" s="11"/>
      <c r="D394" s="13"/>
      <c r="E394" s="11"/>
      <c r="F394" s="11"/>
    </row>
    <row r="395" spans="3:6" s="10" customFormat="1" x14ac:dyDescent="0.2">
      <c r="C395" s="11"/>
      <c r="D395" s="13"/>
      <c r="E395" s="11"/>
      <c r="F395" s="11"/>
    </row>
    <row r="396" spans="3:6" s="10" customFormat="1" x14ac:dyDescent="0.2">
      <c r="C396" s="11"/>
      <c r="D396" s="13"/>
      <c r="E396" s="11"/>
      <c r="F396" s="11"/>
    </row>
    <row r="397" spans="3:6" s="10" customFormat="1" x14ac:dyDescent="0.2">
      <c r="C397" s="11"/>
      <c r="D397" s="13"/>
      <c r="E397" s="11"/>
      <c r="F397" s="11"/>
    </row>
    <row r="398" spans="3:6" s="10" customFormat="1" x14ac:dyDescent="0.2">
      <c r="C398" s="11"/>
      <c r="D398" s="13"/>
      <c r="E398" s="11"/>
      <c r="F398" s="11"/>
    </row>
    <row r="399" spans="3:6" s="10" customFormat="1" x14ac:dyDescent="0.2">
      <c r="C399" s="11"/>
      <c r="D399" s="13"/>
      <c r="E399" s="11"/>
      <c r="F399" s="11"/>
    </row>
    <row r="400" spans="3:6" s="10" customFormat="1" x14ac:dyDescent="0.2">
      <c r="C400" s="11"/>
      <c r="D400" s="13"/>
      <c r="E400" s="11"/>
      <c r="F400" s="11"/>
    </row>
    <row r="401" spans="3:6" s="10" customFormat="1" x14ac:dyDescent="0.2">
      <c r="C401" s="11"/>
      <c r="D401" s="13"/>
      <c r="E401" s="11"/>
      <c r="F401" s="11"/>
    </row>
    <row r="402" spans="3:6" s="10" customFormat="1" x14ac:dyDescent="0.2">
      <c r="C402" s="11"/>
      <c r="D402" s="13"/>
      <c r="E402" s="11"/>
      <c r="F402" s="11"/>
    </row>
    <row r="403" spans="3:6" s="10" customFormat="1" x14ac:dyDescent="0.2">
      <c r="C403" s="11"/>
      <c r="D403" s="13"/>
      <c r="E403" s="11"/>
      <c r="F403" s="11"/>
    </row>
    <row r="404" spans="3:6" s="10" customFormat="1" x14ac:dyDescent="0.2">
      <c r="C404" s="11"/>
      <c r="D404" s="13"/>
      <c r="E404" s="11"/>
      <c r="F404" s="11"/>
    </row>
    <row r="405" spans="3:6" s="10" customFormat="1" x14ac:dyDescent="0.2">
      <c r="C405" s="11"/>
      <c r="D405" s="13"/>
      <c r="E405" s="11"/>
      <c r="F405" s="11"/>
    </row>
    <row r="406" spans="3:6" s="10" customFormat="1" x14ac:dyDescent="0.2">
      <c r="C406" s="11"/>
      <c r="D406" s="13"/>
      <c r="E406" s="11"/>
      <c r="F406" s="11"/>
    </row>
    <row r="407" spans="3:6" s="10" customFormat="1" x14ac:dyDescent="0.2">
      <c r="C407" s="11"/>
      <c r="D407" s="13"/>
      <c r="E407" s="11"/>
      <c r="F407" s="11"/>
    </row>
    <row r="408" spans="3:6" s="10" customFormat="1" x14ac:dyDescent="0.2">
      <c r="C408" s="11"/>
      <c r="D408" s="13"/>
      <c r="E408" s="11"/>
      <c r="F408" s="11"/>
    </row>
    <row r="409" spans="3:6" s="10" customFormat="1" x14ac:dyDescent="0.2">
      <c r="C409" s="11"/>
      <c r="D409" s="13"/>
      <c r="E409" s="11"/>
      <c r="F409" s="11"/>
    </row>
    <row r="410" spans="3:6" s="10" customFormat="1" x14ac:dyDescent="0.2">
      <c r="C410" s="11"/>
      <c r="D410" s="13"/>
      <c r="E410" s="11"/>
      <c r="F410" s="11"/>
    </row>
    <row r="411" spans="3:6" s="10" customFormat="1" x14ac:dyDescent="0.2">
      <c r="C411" s="11"/>
      <c r="D411" s="13"/>
      <c r="E411" s="11"/>
      <c r="F411" s="11"/>
    </row>
    <row r="412" spans="3:6" s="10" customFormat="1" x14ac:dyDescent="0.2">
      <c r="C412" s="11"/>
      <c r="D412" s="13"/>
      <c r="E412" s="11"/>
      <c r="F412" s="11"/>
    </row>
    <row r="413" spans="3:6" s="10" customFormat="1" x14ac:dyDescent="0.2">
      <c r="C413" s="11"/>
      <c r="D413" s="13"/>
      <c r="E413" s="11"/>
      <c r="F413" s="11"/>
    </row>
    <row r="414" spans="3:6" s="10" customFormat="1" x14ac:dyDescent="0.2">
      <c r="C414" s="11"/>
      <c r="D414" s="13"/>
      <c r="E414" s="11"/>
      <c r="F414" s="11"/>
    </row>
    <row r="415" spans="3:6" s="10" customFormat="1" x14ac:dyDescent="0.2">
      <c r="C415" s="11"/>
      <c r="D415" s="13"/>
      <c r="E415" s="11"/>
      <c r="F415" s="11"/>
    </row>
    <row r="416" spans="3:6" s="10" customFormat="1" x14ac:dyDescent="0.2">
      <c r="C416" s="11"/>
      <c r="D416" s="13"/>
      <c r="E416" s="11"/>
      <c r="F416" s="11"/>
    </row>
    <row r="417" spans="3:6" s="10" customFormat="1" x14ac:dyDescent="0.2">
      <c r="C417" s="11"/>
      <c r="D417" s="13"/>
      <c r="E417" s="11"/>
      <c r="F417" s="11"/>
    </row>
    <row r="418" spans="3:6" s="10" customFormat="1" x14ac:dyDescent="0.2">
      <c r="C418" s="11"/>
      <c r="D418" s="13"/>
      <c r="E418" s="11"/>
      <c r="F418" s="11"/>
    </row>
    <row r="419" spans="3:6" s="10" customFormat="1" x14ac:dyDescent="0.2">
      <c r="C419" s="11"/>
      <c r="D419" s="13"/>
      <c r="E419" s="11"/>
      <c r="F419" s="11"/>
    </row>
    <row r="420" spans="3:6" s="10" customFormat="1" x14ac:dyDescent="0.2">
      <c r="C420" s="11"/>
      <c r="D420" s="13"/>
      <c r="E420" s="11"/>
      <c r="F420" s="11"/>
    </row>
    <row r="421" spans="3:6" s="10" customFormat="1" x14ac:dyDescent="0.2">
      <c r="C421" s="11"/>
      <c r="D421" s="13"/>
      <c r="E421" s="11"/>
      <c r="F421" s="11"/>
    </row>
    <row r="422" spans="3:6" s="10" customFormat="1" x14ac:dyDescent="0.2">
      <c r="C422" s="11"/>
      <c r="D422" s="13"/>
      <c r="E422" s="11"/>
      <c r="F422" s="11"/>
    </row>
    <row r="423" spans="3:6" s="10" customFormat="1" x14ac:dyDescent="0.2">
      <c r="C423" s="11"/>
      <c r="D423" s="13"/>
      <c r="E423" s="11"/>
      <c r="F423" s="11"/>
    </row>
    <row r="424" spans="3:6" s="10" customFormat="1" x14ac:dyDescent="0.2">
      <c r="C424" s="11"/>
      <c r="D424" s="13"/>
      <c r="E424" s="11"/>
      <c r="F424" s="11"/>
    </row>
    <row r="425" spans="3:6" s="10" customFormat="1" x14ac:dyDescent="0.2">
      <c r="C425" s="11"/>
      <c r="D425" s="13"/>
      <c r="E425" s="11"/>
      <c r="F425" s="11"/>
    </row>
    <row r="426" spans="3:6" s="10" customFormat="1" x14ac:dyDescent="0.2">
      <c r="C426" s="11"/>
      <c r="D426" s="13"/>
      <c r="E426" s="11"/>
      <c r="F426" s="11"/>
    </row>
    <row r="427" spans="3:6" s="10" customFormat="1" x14ac:dyDescent="0.2">
      <c r="C427" s="11"/>
      <c r="D427" s="13"/>
      <c r="E427" s="11"/>
      <c r="F427" s="11"/>
    </row>
    <row r="428" spans="3:6" s="10" customFormat="1" x14ac:dyDescent="0.2">
      <c r="C428" s="11"/>
      <c r="D428" s="13"/>
      <c r="E428" s="11"/>
      <c r="F428" s="11"/>
    </row>
    <row r="429" spans="3:6" s="10" customFormat="1" x14ac:dyDescent="0.2">
      <c r="C429" s="11"/>
      <c r="D429" s="13"/>
      <c r="E429" s="11"/>
      <c r="F429" s="11"/>
    </row>
    <row r="430" spans="3:6" s="10" customFormat="1" x14ac:dyDescent="0.2">
      <c r="C430" s="11"/>
      <c r="D430" s="13"/>
      <c r="E430" s="11"/>
      <c r="F430" s="11"/>
    </row>
    <row r="431" spans="3:6" s="10" customFormat="1" x14ac:dyDescent="0.2">
      <c r="C431" s="11"/>
      <c r="D431" s="13"/>
      <c r="E431" s="11"/>
      <c r="F431" s="11"/>
    </row>
    <row r="432" spans="3:6" s="10" customFormat="1" x14ac:dyDescent="0.2">
      <c r="C432" s="11"/>
      <c r="D432" s="13"/>
      <c r="E432" s="11"/>
      <c r="F432" s="11"/>
    </row>
    <row r="433" spans="3:6" s="10" customFormat="1" x14ac:dyDescent="0.2">
      <c r="C433" s="11"/>
      <c r="D433" s="13"/>
      <c r="E433" s="11"/>
      <c r="F433" s="11"/>
    </row>
    <row r="434" spans="3:6" s="10" customFormat="1" x14ac:dyDescent="0.2">
      <c r="C434" s="11"/>
      <c r="D434" s="13"/>
      <c r="E434" s="11"/>
      <c r="F434" s="11"/>
    </row>
    <row r="435" spans="3:6" s="10" customFormat="1" x14ac:dyDescent="0.2">
      <c r="C435" s="11"/>
      <c r="D435" s="11"/>
      <c r="E435" s="11"/>
      <c r="F435" s="11"/>
    </row>
    <row r="436" spans="3:6" s="10" customFormat="1" x14ac:dyDescent="0.2">
      <c r="C436" s="11"/>
      <c r="D436" s="11"/>
      <c r="E436" s="11"/>
      <c r="F436" s="11"/>
    </row>
    <row r="437" spans="3:6" s="10" customFormat="1" x14ac:dyDescent="0.2">
      <c r="C437" s="11"/>
      <c r="D437" s="11"/>
      <c r="E437" s="11"/>
      <c r="F437" s="11"/>
    </row>
    <row r="438" spans="3:6" s="10" customFormat="1" x14ac:dyDescent="0.2">
      <c r="C438" s="11"/>
      <c r="D438" s="11"/>
      <c r="E438" s="11"/>
      <c r="F438" s="11"/>
    </row>
  </sheetData>
  <mergeCells count="1">
    <mergeCell ref="B2:D2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Sigma Level Calculator</vt:lpstr>
      <vt:lpstr>Z-Table Calculator</vt:lpstr>
      <vt:lpstr>Abbreviated Z-Table</vt:lpstr>
      <vt:lpstr>Full Z-Table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 Table and Sigma Levels</dc:title>
  <dc:creator>OPEX Resources</dc:creator>
  <dc:description>Copyright OPEX Resources 2014</dc:description>
  <cp:lastModifiedBy>Quentin Brook</cp:lastModifiedBy>
  <dcterms:created xsi:type="dcterms:W3CDTF">2003-09-01T18:14:28Z</dcterms:created>
  <dcterms:modified xsi:type="dcterms:W3CDTF">2022-12-02T10:23:07Z</dcterms:modified>
</cp:coreProperties>
</file>