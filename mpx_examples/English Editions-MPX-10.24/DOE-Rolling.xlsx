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uent\OneDrive\OneDrive DOCS\Material Development\Book\Data Files\English Editions 3-4-5-6-7-V21\"/>
    </mc:Choice>
  </mc:AlternateContent>
  <xr:revisionPtr revIDLastSave="0" documentId="13_ncr:1_{4B7B5C86-60AA-4C63-963D-C34F38CA44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OE-Rolling.XL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F11" i="1"/>
  <c r="L18" i="1" s="1"/>
  <c r="D18" i="1"/>
  <c r="H18" i="1"/>
  <c r="N18" i="1"/>
  <c r="G9" i="1"/>
  <c r="G10" i="1"/>
  <c r="H21" i="1" s="1"/>
  <c r="G11" i="1" l="1"/>
  <c r="L21" i="1" s="1"/>
  <c r="P18" i="1"/>
  <c r="D21" i="1"/>
  <c r="P21" i="1" l="1"/>
</calcChain>
</file>

<file path=xl/sharedStrings.xml><?xml version="1.0" encoding="utf-8"?>
<sst xmlns="http://schemas.openxmlformats.org/spreadsheetml/2006/main" count="45" uniqueCount="26">
  <si>
    <t>Temp</t>
  </si>
  <si>
    <t>Pressure</t>
  </si>
  <si>
    <t>Enter the input setting here (uncoded):</t>
  </si>
  <si>
    <t>The equivalent value in coded units:</t>
  </si>
  <si>
    <t>Process Models for DOE Steel Rolling example</t>
  </si>
  <si>
    <t>Introduction:</t>
  </si>
  <si>
    <t>How it works:</t>
  </si>
  <si>
    <t>Enter the actual input factors settings (for Temperature and Pressure) that you want to use in the model, in the green highlighted boxes</t>
  </si>
  <si>
    <t>The spreadsheet will then calculate the equivalent input factors in coded units</t>
  </si>
  <si>
    <t>Temp*Pressure Interaction</t>
  </si>
  <si>
    <t>Temperature</t>
  </si>
  <si>
    <t>Model for use with uncoded units (actual values)</t>
  </si>
  <si>
    <t>C1</t>
  </si>
  <si>
    <t>The third input in the process model is an interaction between Temperature and Pressure, which will also be calculated by the spreadsheet.</t>
  </si>
  <si>
    <t>Model for use with coded units (between -1.0 and +1.0)</t>
  </si>
  <si>
    <t>C2</t>
  </si>
  <si>
    <t>+</t>
  </si>
  <si>
    <t>*</t>
  </si>
  <si>
    <t>Temp*Pressure</t>
  </si>
  <si>
    <t>=</t>
  </si>
  <si>
    <t>Process Output</t>
  </si>
  <si>
    <t>Significant                     Process Inputs</t>
  </si>
  <si>
    <t>C3</t>
  </si>
  <si>
    <t>Constant</t>
  </si>
  <si>
    <t>Generic Model (see page 203 of the pocket guide)</t>
  </si>
  <si>
    <r>
      <t xml:space="preserve">This spreadsheet uses the process models presented on page 219 of the 'Lean </t>
    </r>
    <r>
      <rPr>
        <b/>
        <i/>
        <sz val="10"/>
        <rFont val="Arial"/>
        <family val="2"/>
      </rPr>
      <t>Six Sigma and Minitab'</t>
    </r>
    <r>
      <rPr>
        <sz val="10"/>
        <rFont val="Arial"/>
        <family val="2"/>
      </rPr>
      <t xml:space="preserve"> book (Edition 7 ISBN 978-09957899-5-1)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</si>
</sst>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0000"/>
    <numFmt numFmtId="166" formatCode="0.0000"/>
  </numFmts>
  <fonts count="8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1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wrapText="1"/>
    </xf>
    <xf numFmtId="0" fontId="0" fillId="0" borderId="0" xfId="0" quotePrefix="1" applyAlignment="1">
      <alignment horizontal="right"/>
    </xf>
    <xf numFmtId="0" fontId="2" fillId="0" borderId="0" xfId="0" applyFont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7" fillId="0" borderId="0" xfId="0" quotePrefix="1" applyFont="1"/>
    <xf numFmtId="165" fontId="0" fillId="0" borderId="0" xfId="0" applyNumberFormat="1"/>
    <xf numFmtId="0" fontId="0" fillId="4" borderId="0" xfId="0" applyFill="1"/>
    <xf numFmtId="0" fontId="3" fillId="4" borderId="2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0" fillId="5" borderId="5" xfId="0" applyFill="1" applyBorder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2" fillId="4" borderId="7" xfId="0" applyFont="1" applyFill="1" applyBorder="1"/>
    <xf numFmtId="0" fontId="2" fillId="4" borderId="6" xfId="0" applyFont="1" applyFill="1" applyBorder="1"/>
    <xf numFmtId="0" fontId="2" fillId="4" borderId="8" xfId="0" applyFont="1" applyFill="1" applyBorder="1"/>
    <xf numFmtId="0" fontId="0" fillId="4" borderId="6" xfId="0" applyFill="1" applyBorder="1" applyAlignment="1">
      <alignment horizontal="right"/>
    </xf>
    <xf numFmtId="0" fontId="0" fillId="4" borderId="6" xfId="0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0" fontId="0" fillId="4" borderId="6" xfId="0" applyFill="1" applyBorder="1"/>
    <xf numFmtId="0" fontId="0" fillId="4" borderId="6" xfId="0" quotePrefix="1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4" borderId="0" xfId="0" quotePrefix="1" applyFill="1"/>
    <xf numFmtId="0" fontId="0" fillId="4" borderId="10" xfId="0" applyFill="1" applyBorder="1"/>
    <xf numFmtId="0" fontId="2" fillId="4" borderId="0" xfId="0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2" fillId="4" borderId="0" xfId="0" quotePrefix="1" applyFont="1" applyFill="1" applyAlignment="1">
      <alignment horizontal="right"/>
    </xf>
    <xf numFmtId="0" fontId="6" fillId="4" borderId="0" xfId="0" quotePrefix="1" applyFont="1" applyFill="1" applyAlignment="1">
      <alignment horizontal="center"/>
    </xf>
    <xf numFmtId="2" fontId="2" fillId="4" borderId="0" xfId="0" applyNumberFormat="1" applyFont="1" applyFill="1" applyAlignment="1">
      <alignment horizontal="left"/>
    </xf>
    <xf numFmtId="2" fontId="2" fillId="4" borderId="0" xfId="0" quotePrefix="1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2" fillId="4" borderId="9" xfId="0" applyFont="1" applyFill="1" applyBorder="1" applyAlignment="1">
      <alignment horizontal="left"/>
    </xf>
    <xf numFmtId="0" fontId="2" fillId="4" borderId="0" xfId="0" applyFont="1" applyFill="1" applyAlignment="1">
      <alignment wrapText="1"/>
    </xf>
    <xf numFmtId="0" fontId="2" fillId="4" borderId="10" xfId="0" applyFont="1" applyFill="1" applyBorder="1" applyAlignment="1">
      <alignment wrapText="1"/>
    </xf>
    <xf numFmtId="0" fontId="0" fillId="4" borderId="0" xfId="0" applyFill="1" applyAlignment="1">
      <alignment horizontal="left"/>
    </xf>
    <xf numFmtId="2" fontId="0" fillId="4" borderId="0" xfId="0" applyNumberFormat="1" applyFill="1" applyAlignment="1">
      <alignment horizontal="left"/>
    </xf>
    <xf numFmtId="166" fontId="2" fillId="4" borderId="0" xfId="0" applyNumberFormat="1" applyFont="1" applyFill="1"/>
    <xf numFmtId="0" fontId="2" fillId="4" borderId="9" xfId="0" applyFont="1" applyFill="1" applyBorder="1"/>
    <xf numFmtId="0" fontId="2" fillId="4" borderId="10" xfId="0" applyFont="1" applyFill="1" applyBorder="1"/>
    <xf numFmtId="166" fontId="0" fillId="4" borderId="0" xfId="0" applyNumberFormat="1" applyFill="1"/>
    <xf numFmtId="2" fontId="0" fillId="4" borderId="0" xfId="0" applyNumberFormat="1" applyFill="1" applyAlignment="1">
      <alignment horizontal="right"/>
    </xf>
    <xf numFmtId="0" fontId="0" fillId="4" borderId="11" xfId="0" applyFill="1" applyBorder="1"/>
    <xf numFmtId="0" fontId="0" fillId="4" borderId="5" xfId="0" applyFill="1" applyBorder="1"/>
    <xf numFmtId="0" fontId="0" fillId="4" borderId="12" xfId="0" applyFill="1" applyBorder="1"/>
    <xf numFmtId="0" fontId="2" fillId="4" borderId="0" xfId="0" quotePrefix="1" applyFont="1" applyFill="1" applyAlignment="1">
      <alignment horizontal="center"/>
    </xf>
    <xf numFmtId="0" fontId="2" fillId="4" borderId="5" xfId="0" applyFont="1" applyFill="1" applyBorder="1"/>
    <xf numFmtId="0" fontId="6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164" fontId="0" fillId="3" borderId="13" xfId="0" applyNumberFormat="1" applyFill="1" applyBorder="1" applyAlignment="1">
      <alignment horizontal="center"/>
    </xf>
    <xf numFmtId="164" fontId="0" fillId="3" borderId="15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5</xdr:col>
      <xdr:colOff>1038225</xdr:colOff>
      <xdr:row>0</xdr:row>
      <xdr:rowOff>352425</xdr:rowOff>
    </xdr:to>
    <xdr:pic>
      <xdr:nvPicPr>
        <xdr:cNvPr id="1027" name="Picture 1" descr="20100414 Low Res RGB">
          <a:extLst>
            <a:ext uri="{FF2B5EF4-FFF2-40B4-BE49-F238E27FC236}">
              <a16:creationId xmlns:a16="http://schemas.microsoft.com/office/drawing/2014/main" id="{C49444F7-37C3-8BC3-8EC0-00413CD20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31813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26"/>
  <sheetViews>
    <sheetView tabSelected="1" zoomScale="130" zoomScaleNormal="130" workbookViewId="0">
      <selection activeCell="F9" sqref="F9"/>
    </sheetView>
  </sheetViews>
  <sheetFormatPr defaultRowHeight="12.75" x14ac:dyDescent="0.2"/>
  <cols>
    <col min="1" max="1" width="2.28515625" customWidth="1"/>
    <col min="2" max="2" width="14.28515625" customWidth="1"/>
    <col min="3" max="3" width="2.28515625" customWidth="1"/>
    <col min="4" max="4" width="11.42578125" customWidth="1"/>
    <col min="5" max="5" width="2.28515625" customWidth="1"/>
    <col min="6" max="6" width="19.28515625" customWidth="1"/>
    <col min="7" max="7" width="2.7109375" customWidth="1"/>
    <col min="8" max="8" width="18.7109375" customWidth="1"/>
    <col min="9" max="9" width="3" customWidth="1"/>
    <col min="10" max="10" width="10.140625" customWidth="1"/>
    <col min="11" max="11" width="2.85546875" customWidth="1"/>
    <col min="12" max="12" width="15.140625" customWidth="1"/>
    <col min="13" max="13" width="3" customWidth="1"/>
    <col min="14" max="14" width="11.5703125" customWidth="1"/>
    <col min="15" max="15" width="2.85546875" customWidth="1"/>
    <col min="16" max="16" width="9.7109375" customWidth="1"/>
  </cols>
  <sheetData>
    <row r="1" spans="1:66" s="17" customFormat="1" ht="31.15" customHeight="1" x14ac:dyDescent="0.25">
      <c r="A1" s="18"/>
      <c r="B1" s="19"/>
      <c r="C1" s="19"/>
      <c r="D1" s="19"/>
      <c r="E1" s="19"/>
      <c r="F1" s="20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ht="24.6" customHeight="1" x14ac:dyDescent="0.25">
      <c r="A2" s="7" t="s">
        <v>4</v>
      </c>
    </row>
    <row r="3" spans="1:66" x14ac:dyDescent="0.2">
      <c r="B3" s="2" t="s">
        <v>5</v>
      </c>
      <c r="C3" s="8" t="s">
        <v>25</v>
      </c>
    </row>
    <row r="4" spans="1:66" x14ac:dyDescent="0.2">
      <c r="B4" s="2" t="s">
        <v>6</v>
      </c>
      <c r="C4" t="s">
        <v>7</v>
      </c>
    </row>
    <row r="5" spans="1:66" x14ac:dyDescent="0.2">
      <c r="C5" t="s">
        <v>8</v>
      </c>
    </row>
    <row r="6" spans="1:66" x14ac:dyDescent="0.2">
      <c r="B6" s="2"/>
      <c r="C6" t="s">
        <v>13</v>
      </c>
    </row>
    <row r="7" spans="1:66" ht="9.6" customHeight="1" thickBot="1" x14ac:dyDescent="0.25"/>
    <row r="8" spans="1:66" ht="27" customHeight="1" thickBot="1" x14ac:dyDescent="0.25">
      <c r="B8" s="63" t="s">
        <v>21</v>
      </c>
      <c r="C8" s="64"/>
      <c r="D8" s="64"/>
      <c r="E8" s="65"/>
      <c r="F8" s="9" t="s">
        <v>2</v>
      </c>
      <c r="G8" s="69" t="s">
        <v>3</v>
      </c>
      <c r="H8" s="70"/>
      <c r="I8" s="11"/>
    </row>
    <row r="9" spans="1:66" ht="13.5" thickBot="1" x14ac:dyDescent="0.25">
      <c r="B9" s="66" t="s">
        <v>10</v>
      </c>
      <c r="C9" s="67"/>
      <c r="D9" s="67"/>
      <c r="E9" s="68"/>
      <c r="F9" s="21">
        <v>800</v>
      </c>
      <c r="G9" s="71">
        <f>-1+(F9-800)/50</f>
        <v>-1</v>
      </c>
      <c r="H9" s="72"/>
      <c r="I9" s="6"/>
      <c r="O9" s="4"/>
    </row>
    <row r="10" spans="1:66" ht="13.5" thickBot="1" x14ac:dyDescent="0.25">
      <c r="B10" s="66" t="s">
        <v>1</v>
      </c>
      <c r="C10" s="67"/>
      <c r="D10" s="67"/>
      <c r="E10" s="68"/>
      <c r="F10" s="22">
        <v>1750</v>
      </c>
      <c r="G10" s="71">
        <f>-1+(F10-1500)/125</f>
        <v>1</v>
      </c>
      <c r="H10" s="72"/>
      <c r="I10" s="6"/>
      <c r="O10" s="4"/>
    </row>
    <row r="11" spans="1:66" ht="13.5" thickBot="1" x14ac:dyDescent="0.25">
      <c r="B11" s="66" t="s">
        <v>9</v>
      </c>
      <c r="C11" s="67"/>
      <c r="D11" s="67"/>
      <c r="E11" s="68"/>
      <c r="F11" s="12">
        <f>F9*F10</f>
        <v>1400000</v>
      </c>
      <c r="G11" s="71">
        <f>G9*G10</f>
        <v>-1</v>
      </c>
      <c r="H11" s="72"/>
      <c r="I11" s="3"/>
      <c r="O11" s="4"/>
    </row>
    <row r="12" spans="1:66" ht="12.6" customHeight="1" thickBot="1" x14ac:dyDescent="0.25">
      <c r="D12" s="5"/>
      <c r="E12" s="5"/>
      <c r="F12" s="3"/>
      <c r="G12" s="3"/>
      <c r="H12" s="6"/>
      <c r="I12" s="6"/>
      <c r="O12" s="4"/>
    </row>
    <row r="13" spans="1:66" ht="19.899999999999999" customHeight="1" x14ac:dyDescent="0.2">
      <c r="A13" s="23" t="s">
        <v>24</v>
      </c>
      <c r="B13" s="24"/>
      <c r="C13" s="24"/>
      <c r="D13" s="25"/>
      <c r="E13" s="26"/>
      <c r="F13" s="27"/>
      <c r="G13" s="27"/>
      <c r="H13" s="28"/>
      <c r="I13" s="28"/>
      <c r="J13" s="29"/>
      <c r="K13" s="29"/>
      <c r="L13" s="29"/>
      <c r="M13" s="29"/>
      <c r="N13" s="29"/>
      <c r="O13" s="30"/>
      <c r="P13" s="29"/>
      <c r="Q13" s="31"/>
    </row>
    <row r="14" spans="1:66" ht="4.9000000000000004" customHeight="1" x14ac:dyDescent="0.2">
      <c r="A14" s="32"/>
      <c r="B14" s="17"/>
      <c r="C14" s="17"/>
      <c r="D14" s="33"/>
      <c r="E14" s="33"/>
      <c r="F14" s="34"/>
      <c r="G14" s="34"/>
      <c r="H14" s="35"/>
      <c r="I14" s="35"/>
      <c r="J14" s="17"/>
      <c r="K14" s="17"/>
      <c r="L14" s="17"/>
      <c r="M14" s="17"/>
      <c r="N14" s="17"/>
      <c r="O14" s="36"/>
      <c r="P14" s="17"/>
      <c r="Q14" s="37"/>
    </row>
    <row r="15" spans="1:66" ht="15.75" x14ac:dyDescent="0.25">
      <c r="A15" s="32"/>
      <c r="B15" s="38" t="s">
        <v>12</v>
      </c>
      <c r="C15" s="41" t="s">
        <v>17</v>
      </c>
      <c r="D15" s="39" t="s">
        <v>0</v>
      </c>
      <c r="E15" s="40" t="s">
        <v>16</v>
      </c>
      <c r="F15" s="40" t="s">
        <v>15</v>
      </c>
      <c r="G15" s="41" t="s">
        <v>17</v>
      </c>
      <c r="H15" s="42" t="s">
        <v>1</v>
      </c>
      <c r="I15" s="43" t="s">
        <v>16</v>
      </c>
      <c r="J15" s="40" t="s">
        <v>22</v>
      </c>
      <c r="K15" s="41" t="s">
        <v>17</v>
      </c>
      <c r="L15" s="39" t="s">
        <v>18</v>
      </c>
      <c r="M15" s="59" t="s">
        <v>16</v>
      </c>
      <c r="N15" s="44" t="s">
        <v>23</v>
      </c>
      <c r="O15" s="59" t="s">
        <v>19</v>
      </c>
      <c r="P15" s="45" t="s">
        <v>20</v>
      </c>
      <c r="Q15" s="37"/>
    </row>
    <row r="16" spans="1:66" ht="28.15" customHeight="1" x14ac:dyDescent="0.25">
      <c r="A16" s="46" t="s">
        <v>11</v>
      </c>
      <c r="B16" s="47"/>
      <c r="C16" s="62"/>
      <c r="D16" s="48"/>
      <c r="E16" s="33"/>
      <c r="F16" s="34"/>
      <c r="G16" s="61"/>
      <c r="H16" s="50"/>
      <c r="I16" s="35"/>
      <c r="J16" s="33"/>
      <c r="K16" s="61"/>
      <c r="L16" s="49"/>
      <c r="M16" s="44"/>
      <c r="N16" s="17"/>
      <c r="O16" s="59"/>
      <c r="P16" s="17"/>
      <c r="Q16" s="37"/>
    </row>
    <row r="17" spans="1:17" ht="4.9000000000000004" customHeight="1" x14ac:dyDescent="0.25">
      <c r="A17" s="32"/>
      <c r="B17" s="17"/>
      <c r="C17" s="44"/>
      <c r="D17" s="33"/>
      <c r="E17" s="33"/>
      <c r="F17" s="34"/>
      <c r="G17" s="61"/>
      <c r="H17" s="50"/>
      <c r="I17" s="35"/>
      <c r="J17" s="33"/>
      <c r="K17" s="61"/>
      <c r="L17" s="49"/>
      <c r="M17" s="44"/>
      <c r="N17" s="17"/>
      <c r="O17" s="59"/>
      <c r="P17" s="17"/>
      <c r="Q17" s="37"/>
    </row>
    <row r="18" spans="1:17" ht="15.75" x14ac:dyDescent="0.25">
      <c r="A18" s="32"/>
      <c r="B18" s="17">
        <v>4.1259999999999998E-2</v>
      </c>
      <c r="C18" s="41" t="s">
        <v>17</v>
      </c>
      <c r="D18" s="49">
        <f>F9</f>
        <v>800</v>
      </c>
      <c r="E18" s="40" t="s">
        <v>16</v>
      </c>
      <c r="F18" s="33">
        <v>2.3789999999999999E-2</v>
      </c>
      <c r="G18" s="41" t="s">
        <v>17</v>
      </c>
      <c r="H18" s="50">
        <f>F10</f>
        <v>1750</v>
      </c>
      <c r="I18" s="59" t="s">
        <v>16</v>
      </c>
      <c r="J18" s="33">
        <v>-3.4489999999999997E-5</v>
      </c>
      <c r="K18" s="41" t="s">
        <v>17</v>
      </c>
      <c r="L18" s="49">
        <f>F11</f>
        <v>1400000</v>
      </c>
      <c r="M18" s="59" t="s">
        <v>16</v>
      </c>
      <c r="N18" s="34">
        <f>-3.31</f>
        <v>-3.31</v>
      </c>
      <c r="O18" s="59" t="s">
        <v>19</v>
      </c>
      <c r="P18" s="51">
        <f>(B18*D18)+(F18*H18)+(J18*L18)+N18</f>
        <v>23.04450000000001</v>
      </c>
      <c r="Q18" s="37"/>
    </row>
    <row r="19" spans="1:17" ht="28.15" customHeight="1" x14ac:dyDescent="0.25">
      <c r="A19" s="52" t="s">
        <v>14</v>
      </c>
      <c r="B19" s="45"/>
      <c r="C19" s="44"/>
      <c r="D19" s="53"/>
      <c r="E19" s="33"/>
      <c r="F19" s="34"/>
      <c r="G19" s="61"/>
      <c r="H19" s="50"/>
      <c r="I19" s="35"/>
      <c r="J19" s="33"/>
      <c r="K19" s="61"/>
      <c r="L19" s="49"/>
      <c r="M19" s="44"/>
      <c r="N19" s="17"/>
      <c r="O19" s="59"/>
      <c r="P19" s="54"/>
      <c r="Q19" s="37"/>
    </row>
    <row r="20" spans="1:17" ht="4.1500000000000004" customHeight="1" x14ac:dyDescent="0.25">
      <c r="A20" s="32"/>
      <c r="B20" s="17"/>
      <c r="C20" s="44"/>
      <c r="D20" s="33"/>
      <c r="E20" s="33"/>
      <c r="F20" s="34"/>
      <c r="G20" s="61"/>
      <c r="H20" s="50"/>
      <c r="I20" s="35"/>
      <c r="J20" s="33"/>
      <c r="K20" s="61"/>
      <c r="L20" s="49"/>
      <c r="M20" s="44"/>
      <c r="N20" s="17"/>
      <c r="O20" s="59"/>
      <c r="P20" s="54"/>
      <c r="Q20" s="37"/>
    </row>
    <row r="21" spans="1:17" ht="15.75" x14ac:dyDescent="0.25">
      <c r="A21" s="32"/>
      <c r="B21" s="33">
        <v>-0.73899999999999999</v>
      </c>
      <c r="C21" s="41" t="s">
        <v>17</v>
      </c>
      <c r="D21" s="50">
        <f>G9</f>
        <v>-1</v>
      </c>
      <c r="E21" s="40" t="s">
        <v>16</v>
      </c>
      <c r="F21" s="55">
        <v>-0.69</v>
      </c>
      <c r="G21" s="41" t="s">
        <v>17</v>
      </c>
      <c r="H21" s="50">
        <f>G10</f>
        <v>1</v>
      </c>
      <c r="I21" s="59" t="s">
        <v>16</v>
      </c>
      <c r="J21" s="33">
        <f>-0.215</f>
        <v>-0.215</v>
      </c>
      <c r="K21" s="41" t="s">
        <v>17</v>
      </c>
      <c r="L21" s="49">
        <f>G11</f>
        <v>-1</v>
      </c>
      <c r="M21" s="59" t="s">
        <v>16</v>
      </c>
      <c r="N21" s="34">
        <v>22.78</v>
      </c>
      <c r="O21" s="59" t="s">
        <v>19</v>
      </c>
      <c r="P21" s="51">
        <f>(B21*D21)+(F21*H21)+(J21*L21)+N21</f>
        <v>23.044</v>
      </c>
      <c r="Q21" s="37"/>
    </row>
    <row r="22" spans="1:17" ht="9" customHeight="1" thickBot="1" x14ac:dyDescent="0.25">
      <c r="A22" s="56"/>
      <c r="B22" s="57"/>
      <c r="C22" s="57"/>
      <c r="D22" s="57"/>
      <c r="E22" s="57"/>
      <c r="F22" s="57"/>
      <c r="G22" s="57"/>
      <c r="H22" s="57"/>
      <c r="I22" s="60"/>
      <c r="J22" s="57"/>
      <c r="K22" s="57"/>
      <c r="L22" s="57"/>
      <c r="M22" s="57"/>
      <c r="N22" s="57"/>
      <c r="O22" s="57"/>
      <c r="P22" s="57"/>
      <c r="Q22" s="58"/>
    </row>
    <row r="24" spans="1:17" ht="15" x14ac:dyDescent="0.2">
      <c r="C24" s="15"/>
      <c r="D24" s="13"/>
      <c r="E24" s="10"/>
      <c r="F24" s="5"/>
      <c r="G24" s="15"/>
      <c r="H24" s="14"/>
      <c r="I24" s="10"/>
      <c r="J24" s="5"/>
      <c r="K24" s="15"/>
      <c r="L24" s="13"/>
      <c r="M24" s="10"/>
      <c r="N24" s="3"/>
      <c r="O24" s="4"/>
      <c r="P24" s="16"/>
    </row>
    <row r="25" spans="1:17" ht="15" x14ac:dyDescent="0.2">
      <c r="B25" s="5"/>
      <c r="C25" s="15"/>
      <c r="D25" s="14"/>
      <c r="E25" s="10"/>
      <c r="F25" s="5"/>
      <c r="G25" s="15"/>
      <c r="H25" s="14"/>
      <c r="I25" s="10"/>
      <c r="J25" s="5"/>
      <c r="K25" s="15"/>
      <c r="L25" s="13"/>
      <c r="M25" s="10"/>
      <c r="N25" s="3"/>
      <c r="O25" s="4"/>
      <c r="P25" s="16"/>
    </row>
    <row r="26" spans="1:17" x14ac:dyDescent="0.2">
      <c r="B26" s="1"/>
      <c r="C26" s="1"/>
      <c r="D26" s="1"/>
      <c r="E26" s="1"/>
    </row>
  </sheetData>
  <sheetProtection algorithmName="SHA-512" hashValue="TEyAf0fAGJiWEP4p48v25mYLen9zVJlk/wWNRxjWxihcFXEtnG4ihzDrze1ZABX7bnzGgHzK0QI4U2wotoffeQ==" saltValue="M1S12YfJ5Qaf2jrWvEWZmA==" spinCount="100000" sheet="1" objects="1" scenarios="1"/>
  <mergeCells count="8">
    <mergeCell ref="B8:E8"/>
    <mergeCell ref="B11:E11"/>
    <mergeCell ref="B10:E10"/>
    <mergeCell ref="B9:E9"/>
    <mergeCell ref="G8:H8"/>
    <mergeCell ref="G9:H9"/>
    <mergeCell ref="G10:H10"/>
    <mergeCell ref="G11:H11"/>
  </mergeCells>
  <phoneticPr fontId="1" type="noConversion"/>
  <pageMargins left="0.75" right="0.75" top="1" bottom="1" header="0.5" footer="0.5"/>
  <pageSetup paperSize="9" scale="94" orientation="landscape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DOE-Rolling.XLS</vt:lpstr>
      <vt:lpstr>Sheet2</vt:lpstr>
      <vt:lpstr>Sheet3</vt:lpstr>
    </vt:vector>
  </TitlesOfParts>
  <Company>OPEX Resources Ltd. www.opexresources.com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DOE-Rolling.XLS</dc:title>
  <dc:creator>OPEX Resources</dc:creator>
  <dc:description>Copyright OPEX Resources Ltd.  2004-2014</dc:description>
  <cp:lastModifiedBy>Quentin Brook</cp:lastModifiedBy>
  <cp:lastPrinted>2010-03-01T16:01:51Z</cp:lastPrinted>
  <dcterms:created xsi:type="dcterms:W3CDTF">2010-02-15T21:14:55Z</dcterms:created>
  <dcterms:modified xsi:type="dcterms:W3CDTF">2022-12-02T10:11:49Z</dcterms:modified>
</cp:coreProperties>
</file>